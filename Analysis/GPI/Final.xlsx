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m/d/yyyy;@"/>
  </numFmts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9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14" fontId="0" fillId="0" borderId="0" pivotButton="0" quotePrefix="0" xfId="0"/>
    <xf numFmtId="2" fontId="0" fillId="0" borderId="0" pivotButton="0" quotePrefix="0" xfId="0"/>
    <xf numFmtId="14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8"/>
  <sheetViews>
    <sheetView tabSelected="1" zoomScale="86" zoomScaleNormal="86" workbookViewId="0">
      <pane ySplit="6" topLeftCell="A47" activePane="bottomLeft" state="frozen"/>
      <selection pane="bottomLeft" activeCell="O71" sqref="O71"/>
    </sheetView>
  </sheetViews>
  <sheetFormatPr baseColWidth="8" defaultColWidth="9" defaultRowHeight="14.4"/>
  <cols>
    <col width="20.88671875" customWidth="1" style="3" min="1" max="1"/>
    <col width="13" customWidth="1" min="2" max="2"/>
    <col width="10.21875" customWidth="1" min="3" max="3"/>
    <col width="14" customWidth="1" min="4" max="4"/>
    <col width="8.6640625" customWidth="1" min="5" max="5"/>
    <col width="7.109375" customWidth="1" min="6" max="6"/>
    <col width="9.77734375" customWidth="1" min="7" max="7"/>
    <col width="8.6640625" customWidth="1" min="8" max="8"/>
    <col width="9.109375" customWidth="1" min="9" max="9"/>
    <col width="12.5546875" customWidth="1" min="10" max="10"/>
    <col width="13.88671875" customWidth="1" min="11" max="11"/>
    <col width="12.6640625" customWidth="1" min="12" max="12"/>
    <col width="20.88671875" customWidth="1" min="13" max="13"/>
    <col width="14" customWidth="1" min="14" max="14"/>
    <col width="17.109375" customWidth="1" style="4" min="15" max="15"/>
    <col width="15.88671875" customWidth="1" min="16" max="16"/>
    <col width="16.77734375" customWidth="1" min="17" max="17"/>
    <col width="23.44140625" customWidth="1" min="18" max="18"/>
    <col width="28.88671875" customWidth="1" min="19" max="19"/>
    <col width="16.77734375" customWidth="1" min="20" max="20"/>
    <col width="25" customWidth="1" min="21" max="21"/>
    <col width="19.5546875" customWidth="1" min="22" max="22"/>
    <col width="7.6640625" customWidth="1" style="4" min="23" max="23"/>
    <col width="12.88671875" customWidth="1" min="24" max="24"/>
    <col width="24.5546875" customWidth="1" min="25" max="25"/>
    <col width="15.109375" customWidth="1" min="26" max="26"/>
    <col width="6.6640625" customWidth="1" min="27" max="27"/>
    <col width="19.6640625" customWidth="1" min="28" max="28"/>
    <col width="8.21875" customWidth="1" min="29" max="29"/>
    <col width="6.6640625" customWidth="1" min="30" max="33"/>
    <col width="8.6640625" customWidth="1" min="34" max="34"/>
    <col width="7.6640625" customWidth="1" min="35" max="35"/>
    <col width="8.6640625" customWidth="1" min="36" max="36"/>
    <col width="10.21875" customWidth="1" min="39" max="39"/>
    <col width="14" customWidth="1" min="40" max="40"/>
    <col width="12.6640625" customWidth="1" min="41" max="41"/>
    <col width="7.109375" customWidth="1" min="42" max="42"/>
    <col width="9.77734375" customWidth="1" min="43" max="43"/>
    <col width="5.6640625" customWidth="1" min="44" max="44"/>
    <col width="9.109375" customWidth="1" min="45" max="45"/>
    <col width="12.5546875" customWidth="1" min="46" max="46"/>
    <col width="13.88671875" customWidth="1" min="47" max="47"/>
    <col width="12.6640625" customWidth="1" min="48" max="48"/>
    <col width="20.88671875" customWidth="1" min="49" max="49"/>
    <col width="14" customWidth="1" min="50" max="50"/>
    <col width="5.88671875" customWidth="1" min="51" max="51"/>
    <col width="17.109375" customWidth="1" min="52" max="52"/>
    <col width="6.6640625" customWidth="1" min="54" max="55"/>
    <col width="9.21875" customWidth="1" min="57" max="57"/>
  </cols>
  <sheetData>
    <row r="1" customFormat="1" s="1">
      <c r="A1" s="5" t="n"/>
      <c r="B1" s="6" t="inlineStr">
        <is>
          <t>Target Values</t>
        </is>
      </c>
      <c r="C1" s="6" t="n">
        <v>8.32</v>
      </c>
      <c r="D1" s="6" t="n">
        <v>39.09</v>
      </c>
      <c r="E1" s="6" t="n">
        <v>2140.1</v>
      </c>
      <c r="F1" s="6" t="n">
        <v>64.18000000000001</v>
      </c>
      <c r="G1" s="6" t="n">
        <v>2.92</v>
      </c>
      <c r="H1" s="6" t="n">
        <v>5.39</v>
      </c>
      <c r="I1" s="6" t="n">
        <v>3.31</v>
      </c>
      <c r="J1" s="6" t="n">
        <v>96.16</v>
      </c>
      <c r="K1" s="6" t="n">
        <v>545.12</v>
      </c>
      <c r="L1" s="6" t="n">
        <v>501.12</v>
      </c>
      <c r="M1" s="6" t="n">
        <v>39.27</v>
      </c>
      <c r="N1" s="6" t="n">
        <v>2.94</v>
      </c>
      <c r="O1" s="7" t="n"/>
      <c r="P1" s="6" t="inlineStr">
        <is>
          <t>CORE</t>
        </is>
      </c>
      <c r="Q1" s="6" t="inlineStr">
        <is>
          <t>Mean</t>
        </is>
      </c>
      <c r="R1" s="6" t="n">
        <v>30.58</v>
      </c>
      <c r="S1" s="6" t="n"/>
      <c r="T1" s="6" t="inlineStr">
        <is>
          <t>SMR</t>
        </is>
      </c>
      <c r="U1" s="6" t="inlineStr">
        <is>
          <t>Mean</t>
        </is>
      </c>
      <c r="V1" s="6" t="n">
        <v>6.37</v>
      </c>
      <c r="W1" s="7" t="n"/>
      <c r="X1" s="7" t="n"/>
      <c r="Y1" s="8" t="inlineStr">
        <is>
          <t>Offet</t>
        </is>
      </c>
      <c r="Z1" s="9" t="n">
        <v>5</v>
      </c>
      <c r="AA1" s="7" t="n"/>
      <c r="AB1" s="4" t="inlineStr">
        <is>
          <t>new sand coefficient</t>
        </is>
      </c>
      <c r="AC1" s="7" t="n">
        <v>9999</v>
      </c>
      <c r="AD1" s="7" t="n"/>
      <c r="AE1" t="inlineStr">
        <is>
          <t>Mean</t>
        </is>
      </c>
      <c r="AF1" t="n">
        <v>20</v>
      </c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B1" s="7" t="n"/>
      <c r="BC1" s="7" t="n"/>
    </row>
    <row r="2" customFormat="1" s="1">
      <c r="A2" s="5" t="n"/>
      <c r="B2" s="6" t="inlineStr">
        <is>
          <t>Coefficient</t>
        </is>
      </c>
      <c r="C2" s="6" t="n">
        <v>0.03</v>
      </c>
      <c r="D2" s="6" t="n">
        <v>9999</v>
      </c>
      <c r="E2" s="6" t="n">
        <v>30</v>
      </c>
      <c r="F2" s="6" t="n">
        <v>-0.1</v>
      </c>
      <c r="G2" s="6" t="n">
        <v>0.025</v>
      </c>
      <c r="H2" s="6" t="n">
        <v>9999</v>
      </c>
      <c r="I2" s="6" t="n">
        <v>0.025</v>
      </c>
      <c r="J2" s="6" t="n">
        <v>9999</v>
      </c>
      <c r="K2" s="6" t="n">
        <v>7.82</v>
      </c>
      <c r="L2" s="6" t="n">
        <v>4.25</v>
      </c>
      <c r="M2" s="6" t="n">
        <v>9999</v>
      </c>
      <c r="N2" s="6" t="n">
        <v>9999</v>
      </c>
      <c r="O2" s="7" t="n"/>
      <c r="P2" s="6" t="n"/>
      <c r="Q2" s="6" t="inlineStr">
        <is>
          <t>COEFF</t>
        </is>
      </c>
      <c r="R2" s="6" t="n">
        <v>8</v>
      </c>
      <c r="S2" s="6" t="n"/>
      <c r="T2" s="6" t="n"/>
      <c r="U2" s="6" t="inlineStr">
        <is>
          <t>Coeff</t>
        </is>
      </c>
      <c r="V2" s="6" t="n">
        <v>-3.5</v>
      </c>
      <c r="W2" s="7" t="n"/>
      <c r="X2" s="7" t="n"/>
      <c r="Y2" s="7" t="n"/>
      <c r="AA2" s="7" t="n"/>
      <c r="AB2" s="7" t="n"/>
      <c r="AC2" s="7" t="n"/>
      <c r="AD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B2" s="7" t="n"/>
      <c r="BC2" s="7" t="n"/>
    </row>
    <row r="3" customFormat="1" s="1">
      <c r="A3" s="5" t="n"/>
      <c r="B3" s="6" t="inlineStr">
        <is>
          <t>Weight</t>
        </is>
      </c>
      <c r="C3" s="6" t="n">
        <v>0.5</v>
      </c>
      <c r="D3" s="6" t="n">
        <v>0</v>
      </c>
      <c r="E3" s="6" t="n">
        <v>0.2</v>
      </c>
      <c r="F3" s="6" t="n">
        <v>0.1</v>
      </c>
      <c r="G3" s="6" t="n">
        <v>0.05</v>
      </c>
      <c r="H3" s="6" t="n">
        <v>0</v>
      </c>
      <c r="I3" s="6" t="n">
        <v>0.05</v>
      </c>
      <c r="J3" s="6" t="n">
        <v>0</v>
      </c>
      <c r="K3" s="6" t="n">
        <v>0.05</v>
      </c>
      <c r="L3" s="6" t="n">
        <v>0.05</v>
      </c>
      <c r="M3" s="6" t="n">
        <v>0</v>
      </c>
      <c r="N3" s="6" t="n">
        <v>0</v>
      </c>
      <c r="O3" s="7">
        <f>SUM(C3:M3)</f>
        <v/>
      </c>
      <c r="P3" s="6" t="n"/>
      <c r="Q3" s="6" t="n"/>
      <c r="R3" s="6" t="n"/>
      <c r="S3" s="6" t="n"/>
      <c r="T3" s="6" t="n"/>
      <c r="U3" s="6" t="n"/>
      <c r="V3" s="6" t="n"/>
      <c r="W3" s="7" t="n"/>
      <c r="X3" s="7" t="inlineStr">
        <is>
          <t>n</t>
        </is>
      </c>
      <c r="Y3" s="7" t="n">
        <v>1500</v>
      </c>
      <c r="AA3" s="7" t="n"/>
      <c r="AB3" s="7" t="n"/>
      <c r="AC3" s="7" t="n"/>
      <c r="AD3" s="7" t="n"/>
      <c r="AM3" s="7" t="n"/>
      <c r="AN3" s="8" t="inlineStr">
        <is>
          <t>Lower Bound</t>
        </is>
      </c>
      <c r="AO3" s="8" t="inlineStr">
        <is>
          <t>Upper Bound</t>
        </is>
      </c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B3" s="7" t="n"/>
      <c r="BC3" s="7" t="n"/>
    </row>
    <row r="4" customFormat="1" s="1">
      <c r="A4" s="5" t="n"/>
      <c r="B4" s="6" t="inlineStr">
        <is>
          <t>Correlation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7" t="n"/>
      <c r="P4" s="7" t="n"/>
      <c r="Q4" s="7" t="n"/>
      <c r="R4" s="7" t="n"/>
      <c r="S4" s="7" t="n"/>
      <c r="T4" s="7" t="n"/>
      <c r="V4" s="7" t="n"/>
      <c r="W4" s="7" t="n"/>
      <c r="X4" s="7" t="inlineStr">
        <is>
          <t>pershift</t>
        </is>
      </c>
      <c r="Y4" s="7" t="n">
        <v>450</v>
      </c>
      <c r="AA4" s="7" t="n"/>
      <c r="AB4" s="7" t="n"/>
      <c r="AC4" s="7" t="n"/>
      <c r="AD4" s="7" t="n"/>
      <c r="AM4" s="7" t="n"/>
      <c r="AN4" s="8" t="n">
        <v>61.16</v>
      </c>
      <c r="AO4" s="8" t="n">
        <v>65.16</v>
      </c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B4" s="7" t="n"/>
      <c r="BC4" s="7" t="n"/>
    </row>
    <row r="5" customFormat="1" s="1">
      <c r="A5" s="5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V5" s="7" t="n"/>
      <c r="W5" s="7" t="n"/>
      <c r="X5" s="7" t="n"/>
      <c r="Y5" s="7" t="n"/>
      <c r="AA5" s="7" t="n"/>
      <c r="AB5" s="7" t="n"/>
      <c r="AC5" s="7" t="n"/>
      <c r="AD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B5" s="7" t="n"/>
      <c r="BC5" s="7" t="n"/>
    </row>
    <row r="6" customFormat="1" s="2">
      <c r="A6" s="11" t="inlineStr">
        <is>
          <t>date</t>
        </is>
      </c>
      <c r="B6" s="12" t="inlineStr">
        <is>
          <t>shift</t>
        </is>
      </c>
      <c r="C6" s="12" t="inlineStr">
        <is>
          <t>activeClay</t>
        </is>
      </c>
      <c r="D6" s="12" t="inlineStr">
        <is>
          <t>compactibility</t>
        </is>
      </c>
      <c r="E6" s="12" t="inlineStr">
        <is>
          <t>gcs</t>
        </is>
      </c>
      <c r="F6" s="12" t="inlineStr">
        <is>
          <t>gfnAfs</t>
        </is>
      </c>
      <c r="G6" s="12" t="inlineStr">
        <is>
          <t>inertFines</t>
        </is>
      </c>
      <c r="H6" s="12" t="inlineStr">
        <is>
          <t>loi</t>
        </is>
      </c>
      <c r="I6" s="12" t="inlineStr">
        <is>
          <t>moisture</t>
        </is>
      </c>
      <c r="J6" s="12" t="inlineStr">
        <is>
          <t>permeability</t>
        </is>
      </c>
      <c r="K6" s="12" t="inlineStr">
        <is>
          <t>shearStrength</t>
        </is>
      </c>
      <c r="L6" s="12" t="inlineStr">
        <is>
          <t>splitStrength</t>
        </is>
      </c>
      <c r="M6" s="12" t="inlineStr">
        <is>
          <t>tempOfSandAfterMix</t>
        </is>
      </c>
      <c r="N6" s="12" t="inlineStr">
        <is>
          <t>volatileMatter</t>
        </is>
      </c>
      <c r="O6" s="13" t="inlineStr">
        <is>
          <t>sand_metal_ratio</t>
        </is>
      </c>
      <c r="P6" s="12" t="inlineStr">
        <is>
          <t>core_sand_ratio</t>
        </is>
      </c>
      <c r="Q6" s="12" t="inlineStr">
        <is>
          <t>core_metal_ratio</t>
        </is>
      </c>
      <c r="R6" s="12" t="inlineStr">
        <is>
          <t>bentonite_predicted_kg</t>
        </is>
      </c>
      <c r="S6" s="12" t="inlineStr">
        <is>
          <t>fresh silica sand_predicted_kg</t>
        </is>
      </c>
      <c r="T6" s="12" t="inlineStr">
        <is>
          <t>lca_predicted_kg</t>
        </is>
      </c>
      <c r="U6" s="12" t="inlineStr">
        <is>
          <t>return sand_predicted_kg</t>
        </is>
      </c>
      <c r="V6" s="12" t="inlineStr">
        <is>
          <t>water_predicted_kg</t>
        </is>
      </c>
      <c r="W6" s="13" t="inlineStr">
        <is>
          <t>csi</t>
        </is>
      </c>
      <c r="X6" s="12" t="inlineStr">
        <is>
          <t>fss</t>
        </is>
      </c>
      <c r="Y6" s="12" t="inlineStr">
        <is>
          <t>bentonite_predicted_kg1</t>
        </is>
      </c>
      <c r="Z6" s="12" t="inlineStr">
        <is>
          <t>Final Prediction</t>
        </is>
      </c>
      <c r="AM6" s="13" t="inlineStr">
        <is>
          <t>activeClay</t>
        </is>
      </c>
      <c r="AN6" s="13" t="inlineStr">
        <is>
          <t>compactibility</t>
        </is>
      </c>
      <c r="AO6" s="13" t="inlineStr">
        <is>
          <t>gcs</t>
        </is>
      </c>
      <c r="AP6" s="13" t="inlineStr">
        <is>
          <t>gfnAfs</t>
        </is>
      </c>
      <c r="AQ6" s="13" t="inlineStr">
        <is>
          <t>inertFines</t>
        </is>
      </c>
      <c r="AR6" s="13" t="inlineStr">
        <is>
          <t>loi</t>
        </is>
      </c>
      <c r="AS6" s="13" t="inlineStr">
        <is>
          <t>moisture</t>
        </is>
      </c>
      <c r="AT6" s="13" t="inlineStr">
        <is>
          <t>permeability</t>
        </is>
      </c>
      <c r="AU6" s="13" t="inlineStr">
        <is>
          <t>shearStrength</t>
        </is>
      </c>
      <c r="AV6" s="13" t="inlineStr">
        <is>
          <t>splitStrength</t>
        </is>
      </c>
      <c r="AW6" s="13" t="inlineStr">
        <is>
          <t>tempOfSandAfterMix</t>
        </is>
      </c>
      <c r="AX6" s="13" t="inlineStr">
        <is>
          <t>volatileMatter</t>
        </is>
      </c>
      <c r="AY6" s="13" t="inlineStr">
        <is>
          <t>csi</t>
        </is>
      </c>
      <c r="AZ6" s="13" t="inlineStr">
        <is>
          <t>sand_metal_ratio</t>
        </is>
      </c>
      <c r="BA6" s="14" t="n"/>
      <c r="BB6" s="13" t="inlineStr">
        <is>
          <t>P1</t>
        </is>
      </c>
      <c r="BC6" s="13" t="inlineStr">
        <is>
          <t>P2</t>
        </is>
      </c>
      <c r="BD6" s="14" t="n"/>
      <c r="BE6" s="12" t="inlineStr">
        <is>
          <t>Dateshift</t>
        </is>
      </c>
    </row>
    <row r="7" hidden="1">
      <c r="A7" s="15" t="n">
        <v>46116</v>
      </c>
      <c r="B7" s="9" t="n">
        <v>1</v>
      </c>
      <c r="C7" s="9" t="n">
        <v>8.4</v>
      </c>
      <c r="D7" s="9" t="n">
        <v>39</v>
      </c>
      <c r="E7" s="9" t="n">
        <v>2180</v>
      </c>
      <c r="F7" s="9" t="n">
        <v>64.38</v>
      </c>
      <c r="G7" s="9" t="n">
        <v>2.63</v>
      </c>
      <c r="H7" s="9" t="n">
        <v>5.45</v>
      </c>
      <c r="I7" s="9" t="n">
        <v>3.2</v>
      </c>
      <c r="J7" s="9" t="n">
        <v>93</v>
      </c>
      <c r="K7" s="9" t="n">
        <v>550</v>
      </c>
      <c r="L7" s="9" t="n">
        <v>490</v>
      </c>
      <c r="M7" s="9" t="n">
        <v>32</v>
      </c>
      <c r="N7" s="9" t="n">
        <v>3</v>
      </c>
      <c r="O7" s="8" t="n">
        <v>7.66595838218054</v>
      </c>
      <c r="P7" s="9" t="n">
        <v>0.0401835125448029</v>
      </c>
      <c r="Q7" s="9" t="n">
        <v>0.308045134818288</v>
      </c>
      <c r="R7" s="9" t="n">
        <v>57.1303982039778</v>
      </c>
      <c r="S7" s="9" t="n">
        <v>73.7863592950866</v>
      </c>
      <c r="T7" s="9" t="n">
        <v>27.3948888956461</v>
      </c>
      <c r="U7" s="9" t="n">
        <v>4800</v>
      </c>
      <c r="V7" s="9" t="n">
        <v>83.20756007225521</v>
      </c>
      <c r="W7" s="8" t="n">
        <v>21.021</v>
      </c>
      <c r="X7" s="9" t="n">
        <v>5.42</v>
      </c>
      <c r="Y7" s="9" t="n">
        <v>57.1250627281222</v>
      </c>
      <c r="Z7" s="8">
        <f>AVERAGE(BB7:BC7)</f>
        <v/>
      </c>
      <c r="AM7" s="10">
        <f>C$3*(C$1-C7)/C$2</f>
        <v/>
      </c>
      <c r="AN7" s="10">
        <f>D$3*(D$1-D7)/D$2</f>
        <v/>
      </c>
      <c r="AO7" s="10">
        <f>E$3*(E$1-E7)/E$2</f>
        <v/>
      </c>
      <c r="AP7" s="10">
        <f>F$3*(F$1-F7)/F$2</f>
        <v/>
      </c>
      <c r="AQ7" s="10">
        <f>G$3*(G$1-G7)/G$2</f>
        <v/>
      </c>
      <c r="AR7" s="10">
        <f>H$3*(H$1-H7)/H$2</f>
        <v/>
      </c>
      <c r="AS7" s="10">
        <f>I$3*(I$1-I7)/I$2</f>
        <v/>
      </c>
      <c r="AT7" s="10">
        <f>J$3*(J$1-J7)/J$2</f>
        <v/>
      </c>
      <c r="AU7" s="10">
        <f>K$3*(K$1-K7)/K$2</f>
        <v/>
      </c>
      <c r="AV7" s="10">
        <f>L$3*(L$1-L7)/L$2</f>
        <v/>
      </c>
      <c r="AW7" s="10">
        <f>M$3*(M$1-M7)/M$2</f>
        <v/>
      </c>
      <c r="AX7" s="10">
        <f>N$3*(N$1-N7)/N$2</f>
        <v/>
      </c>
      <c r="AY7" s="10">
        <f>(((W7*$Y$4/$Y$3)-$R$1)/$R$2)</f>
        <v/>
      </c>
      <c r="AZ7" s="10">
        <f>(O7-$V$1)/$V$2</f>
        <v/>
      </c>
      <c r="BA7" s="1" t="n"/>
      <c r="BB7" s="10">
        <f>R7+SUM(AM7:AZ7)+$Z$1+X7/$AC$1</f>
        <v/>
      </c>
      <c r="BC7" s="10">
        <f>Y7+SUM(AM7:AZ7)+$Z$1+X7/$AC$1-AO7-AP7-AV7</f>
        <v/>
      </c>
      <c r="BD7" s="1" t="n"/>
      <c r="BE7" s="6">
        <f>A7&amp;B7</f>
        <v/>
      </c>
    </row>
    <row r="8" hidden="1">
      <c r="A8" s="15" t="n">
        <v>46117</v>
      </c>
      <c r="B8" s="9" t="n">
        <v>1</v>
      </c>
      <c r="C8" s="9" t="n">
        <v>8.42</v>
      </c>
      <c r="D8" s="9" t="n">
        <v>39</v>
      </c>
      <c r="E8" s="9" t="n">
        <v>2120</v>
      </c>
      <c r="F8" s="9" t="n">
        <v>64.20999999999999</v>
      </c>
      <c r="G8" s="9" t="n">
        <v>2.54</v>
      </c>
      <c r="H8" s="9" t="n">
        <v>5.34</v>
      </c>
      <c r="I8" s="9" t="n">
        <v>3.3</v>
      </c>
      <c r="J8" s="9" t="n">
        <v>93</v>
      </c>
      <c r="K8" s="9" t="n">
        <v>550</v>
      </c>
      <c r="L8" s="9" t="n">
        <v>510</v>
      </c>
      <c r="M8" s="9" t="n">
        <v>44</v>
      </c>
      <c r="N8" s="9" t="n">
        <v>2.9</v>
      </c>
      <c r="O8" s="8" t="n">
        <v>6.14600053761376</v>
      </c>
      <c r="P8" s="9" t="n">
        <v>0.0645134584624613</v>
      </c>
      <c r="Q8" s="9" t="n">
        <v>0.39649975039361</v>
      </c>
      <c r="R8" s="9" t="n">
        <v>57.1337835546844</v>
      </c>
      <c r="S8" s="9" t="n">
        <v>73.7907357808396</v>
      </c>
      <c r="T8" s="9" t="n">
        <v>27.6812616234607</v>
      </c>
      <c r="U8" s="9" t="n">
        <v>4800</v>
      </c>
      <c r="V8" s="9" t="n">
        <v>83.21248397431179</v>
      </c>
      <c r="W8" s="8" t="n">
        <v>103.2525</v>
      </c>
      <c r="X8" s="9" t="n">
        <v>16.577</v>
      </c>
      <c r="Y8" s="9" t="n">
        <v>57.133198213053</v>
      </c>
      <c r="Z8" s="8">
        <f>AVERAGE(BB8:BC8)</f>
        <v/>
      </c>
      <c r="AM8" s="10">
        <f>C$3*(C$1-C8)/C$2</f>
        <v/>
      </c>
      <c r="AN8" s="10">
        <f>D$3*(D$1-D8)/D$2</f>
        <v/>
      </c>
      <c r="AO8" s="10">
        <f>E$3*(E$1-E8)/E$2</f>
        <v/>
      </c>
      <c r="AP8" s="10">
        <f>F$3*(F$1-F8)/F$2</f>
        <v/>
      </c>
      <c r="AQ8" s="10">
        <f>G$3*(G$1-G8)/G$2</f>
        <v/>
      </c>
      <c r="AR8" s="10">
        <f>H$3*(H$1-H8)/H$2</f>
        <v/>
      </c>
      <c r="AS8" s="10">
        <f>I$3*(I$1-I8)/I$2</f>
        <v/>
      </c>
      <c r="AT8" s="10">
        <f>J$3*(J$1-J8)/J$2</f>
        <v/>
      </c>
      <c r="AU8" s="10">
        <f>K$3*(K$1-K8)/K$2</f>
        <v/>
      </c>
      <c r="AV8" s="10">
        <f>L$3*(L$1-L8)/L$2</f>
        <v/>
      </c>
      <c r="AW8" s="10">
        <f>M$3*(M$1-M8)/M$2</f>
        <v/>
      </c>
      <c r="AX8" s="10">
        <f>N$3*(N$1-N8)/N$2</f>
        <v/>
      </c>
      <c r="AY8" s="10">
        <f>((W8-$R$1)/$R$2)*$Y$4/$Y$3</f>
        <v/>
      </c>
      <c r="AZ8" s="10">
        <f>(O8-$V$1)/$V$2</f>
        <v/>
      </c>
      <c r="BB8" s="10">
        <f>R8+SUM(AM8:AZ8)+$Z$1+X8/$AC$1</f>
        <v/>
      </c>
      <c r="BC8" s="10">
        <f>Y8+SUM(AM8:AZ8)+$Z$1+X8/$AC$1-AO8-AP8-AV8</f>
        <v/>
      </c>
      <c r="BE8" s="6">
        <f>A8&amp;B8</f>
        <v/>
      </c>
    </row>
    <row r="9" hidden="1">
      <c r="A9" s="15" t="n">
        <v>46117</v>
      </c>
      <c r="B9" s="9" t="n">
        <v>1</v>
      </c>
      <c r="C9" s="9" t="n">
        <v>8.42</v>
      </c>
      <c r="D9" s="9" t="n">
        <v>41</v>
      </c>
      <c r="E9" s="9" t="n">
        <v>2010</v>
      </c>
      <c r="F9" s="9" t="n">
        <v>64.20999999999999</v>
      </c>
      <c r="G9" s="9" t="n">
        <v>2.54</v>
      </c>
      <c r="H9" s="9" t="n">
        <v>5.34</v>
      </c>
      <c r="I9" s="9" t="n">
        <v>3.4</v>
      </c>
      <c r="J9" s="9" t="n">
        <v>99</v>
      </c>
      <c r="K9" s="9" t="n">
        <v>530</v>
      </c>
      <c r="L9" s="9" t="n">
        <v>500</v>
      </c>
      <c r="M9" s="9" t="n">
        <v>43</v>
      </c>
      <c r="N9" s="9" t="n">
        <v>2.9</v>
      </c>
      <c r="O9" s="8" t="n">
        <v>5.5261338757071</v>
      </c>
      <c r="P9" s="9" t="n">
        <v>0.0681188750287828</v>
      </c>
      <c r="Q9" s="9" t="n">
        <v>0.376434022871615</v>
      </c>
      <c r="R9" s="9" t="n">
        <v>57.0389014744443</v>
      </c>
      <c r="S9" s="9" t="n">
        <v>73.6681901997529</v>
      </c>
      <c r="T9" s="9" t="n">
        <v>27.4227434605976</v>
      </c>
      <c r="U9" s="9" t="n">
        <v>4800</v>
      </c>
      <c r="V9" s="9" t="n">
        <v>75.31543656075129</v>
      </c>
      <c r="W9" s="8" t="n">
        <v>124.182548387097</v>
      </c>
      <c r="X9" s="9" t="n">
        <v>18.8748387096774</v>
      </c>
      <c r="Y9" s="9" t="n">
        <v>57.0527832337747</v>
      </c>
      <c r="Z9" s="8">
        <f>AVERAGE(BB9:BC9)</f>
        <v/>
      </c>
      <c r="AM9" s="10">
        <f>C$3*(C$1-C9)/C$2</f>
        <v/>
      </c>
      <c r="AN9" s="10">
        <f>D$3*(D$1-D9)/D$2</f>
        <v/>
      </c>
      <c r="AO9" s="10">
        <f>E$3*(E$1-E9)/E$2</f>
        <v/>
      </c>
      <c r="AP9" s="10">
        <f>F$3*(F$1-F9)/F$2</f>
        <v/>
      </c>
      <c r="AQ9" s="10">
        <f>G$3*(G$1-G9)/G$2</f>
        <v/>
      </c>
      <c r="AR9" s="10">
        <f>H$3*(H$1-H9)/H$2</f>
        <v/>
      </c>
      <c r="AS9" s="10">
        <f>I$3*(I$1-I9)/I$2</f>
        <v/>
      </c>
      <c r="AT9" s="10">
        <f>J$3*(J$1-J9)/J$2</f>
        <v/>
      </c>
      <c r="AU9" s="10">
        <f>K$3*(K$1-K9)/K$2</f>
        <v/>
      </c>
      <c r="AV9" s="10">
        <f>L$3*(L$1-L9)/L$2</f>
        <v/>
      </c>
      <c r="AW9" s="10">
        <f>M$3*(M$1-M9)/M$2</f>
        <v/>
      </c>
      <c r="AX9" s="10">
        <f>N$3*(N$1-N9)/N$2</f>
        <v/>
      </c>
      <c r="AY9" s="10">
        <f>((W9-$R$1)/$R$2)*$Y$4/$Y$3</f>
        <v/>
      </c>
      <c r="AZ9" s="10">
        <f>(O9-$V$1)/$V$2</f>
        <v/>
      </c>
      <c r="BB9" s="10">
        <f>R9+SUM(AM9:AZ9)+$Z$1+X9/$AC$1</f>
        <v/>
      </c>
      <c r="BC9" s="10">
        <f>Y9+SUM(AM9:AZ9)+$Z$1+X9/$AC$1-AO9-AP9-AV9</f>
        <v/>
      </c>
      <c r="BE9" s="6">
        <f>A9&amp;B9</f>
        <v/>
      </c>
    </row>
    <row r="10" hidden="1">
      <c r="A10" s="15" t="n">
        <v>46119</v>
      </c>
      <c r="B10" s="9" t="n">
        <v>1</v>
      </c>
      <c r="C10" s="9" t="n">
        <v>8.35</v>
      </c>
      <c r="D10" s="9" t="n">
        <v>40</v>
      </c>
      <c r="E10" s="9" t="n">
        <v>2110</v>
      </c>
      <c r="F10" s="9" t="n">
        <v>63.74</v>
      </c>
      <c r="G10" s="9" t="n">
        <v>2.47</v>
      </c>
      <c r="H10" s="9" t="n">
        <v>5.3</v>
      </c>
      <c r="I10" s="9" t="n">
        <v>3.4</v>
      </c>
      <c r="J10" s="9" t="n">
        <v>93</v>
      </c>
      <c r="K10" s="9" t="n">
        <v>550</v>
      </c>
      <c r="L10" s="9" t="n">
        <v>500</v>
      </c>
      <c r="M10" s="9" t="n">
        <v>43</v>
      </c>
      <c r="N10" s="9" t="n">
        <v>2.8</v>
      </c>
      <c r="O10" s="8" t="n">
        <v>5.5261338757071</v>
      </c>
      <c r="P10" s="9" t="n">
        <v>0.0681188750287828</v>
      </c>
      <c r="Q10" s="9" t="n">
        <v>0.376434022871615</v>
      </c>
      <c r="R10" s="9" t="n">
        <v>57.1169816731332</v>
      </c>
      <c r="S10" s="9" t="n">
        <v>73.76903566770839</v>
      </c>
      <c r="T10" s="9" t="n">
        <v>26.27615501721</v>
      </c>
      <c r="U10" s="9" t="n">
        <v>4800</v>
      </c>
      <c r="V10" s="9" t="n">
        <v>83.173378698547</v>
      </c>
      <c r="W10" s="8" t="n">
        <v>124.182548387097</v>
      </c>
      <c r="X10" s="9" t="n">
        <v>18.8748387096774</v>
      </c>
      <c r="Y10" s="9" t="n">
        <v>57.1286018187831</v>
      </c>
      <c r="Z10" s="8">
        <f>AVERAGE(BB10:BC10)</f>
        <v/>
      </c>
      <c r="AM10" s="10">
        <f>C$3*(C$1-C10)/C$2</f>
        <v/>
      </c>
      <c r="AN10" s="10">
        <f>D$3*(D$1-D10)/D$2</f>
        <v/>
      </c>
      <c r="AO10" s="10">
        <f>E$3*(E$1-E10)/E$2</f>
        <v/>
      </c>
      <c r="AP10" s="10">
        <f>F$3*(F$1-F10)/F$2</f>
        <v/>
      </c>
      <c r="AQ10" s="10">
        <f>G$3*(G$1-G10)/G$2</f>
        <v/>
      </c>
      <c r="AR10" s="10">
        <f>H$3*(H$1-H10)/H$2</f>
        <v/>
      </c>
      <c r="AS10" s="10">
        <f>I$3*(I$1-I10)/I$2</f>
        <v/>
      </c>
      <c r="AT10" s="10">
        <f>J$3*(J$1-J10)/J$2</f>
        <v/>
      </c>
      <c r="AU10" s="10">
        <f>K$3*(K$1-K10)/K$2</f>
        <v/>
      </c>
      <c r="AV10" s="10">
        <f>L$3*(L$1-L10)/L$2</f>
        <v/>
      </c>
      <c r="AW10" s="10">
        <f>M$3*(M$1-M10)/M$2</f>
        <v/>
      </c>
      <c r="AX10" s="10">
        <f>N$3*(N$1-N10)/N$2</f>
        <v/>
      </c>
      <c r="AY10" s="10">
        <f>((W10-$R$1)/$R$2)*$Y$4/$Y$3</f>
        <v/>
      </c>
      <c r="AZ10" s="10">
        <f>(O10-$V$1)/$V$2</f>
        <v/>
      </c>
      <c r="BB10" s="10">
        <f>R10+SUM(AM10:AZ10)+$Z$1+X10/$AC$1</f>
        <v/>
      </c>
      <c r="BC10" s="10">
        <f>Y10+SUM(AM10:AZ10)+$Z$1+X10/$AC$1-AO10-AP10-AV10</f>
        <v/>
      </c>
      <c r="BE10" s="6">
        <f>A10&amp;B10</f>
        <v/>
      </c>
    </row>
    <row r="11" hidden="1">
      <c r="A11" s="15" t="n">
        <v>46119</v>
      </c>
      <c r="B11" s="9" t="n">
        <v>3</v>
      </c>
      <c r="C11" s="9" t="n">
        <v>8.380000000000001</v>
      </c>
      <c r="D11" s="9" t="n">
        <v>40</v>
      </c>
      <c r="E11" s="9" t="n">
        <v>2150</v>
      </c>
      <c r="F11" s="9" t="n">
        <v>64.04000000000001</v>
      </c>
      <c r="G11" s="9" t="n">
        <v>2.55</v>
      </c>
      <c r="H11" s="9" t="n">
        <v>5.37</v>
      </c>
      <c r="I11" s="9" t="n">
        <v>3.3</v>
      </c>
      <c r="J11" s="9" t="n">
        <v>96</v>
      </c>
      <c r="K11" s="9" t="n">
        <v>550</v>
      </c>
      <c r="L11" s="9" t="n">
        <v>500</v>
      </c>
      <c r="M11" s="9" t="n">
        <v>39</v>
      </c>
      <c r="N11" s="9" t="n">
        <v>2.7</v>
      </c>
      <c r="O11" s="8" t="n">
        <v>5.8964466015496</v>
      </c>
      <c r="P11" s="9" t="n">
        <v>0.0596495312451956</v>
      </c>
      <c r="Q11" s="9" t="n">
        <v>0.351720275794761</v>
      </c>
      <c r="R11" s="9" t="n">
        <v>57.1241926575803</v>
      </c>
      <c r="S11" s="9" t="n">
        <v>73.7783493552249</v>
      </c>
      <c r="T11" s="9" t="n">
        <v>27.4763856104462</v>
      </c>
      <c r="U11" s="9" t="n">
        <v>4800</v>
      </c>
      <c r="V11" s="9" t="n">
        <v>82.59298518672691</v>
      </c>
      <c r="W11" s="8" t="n">
        <v>108.022512658228</v>
      </c>
      <c r="X11" s="9" t="n">
        <v>19.5079113924051</v>
      </c>
      <c r="Y11" s="9" t="n">
        <v>57.1301661481034</v>
      </c>
      <c r="Z11" s="8">
        <f>AVERAGE(BB11:BC11)</f>
        <v/>
      </c>
      <c r="AM11" s="10">
        <f>C$3*(C$1-C11)/C$2</f>
        <v/>
      </c>
      <c r="AN11" s="10">
        <f>D$3*(D$1-D11)/D$2</f>
        <v/>
      </c>
      <c r="AO11" s="10">
        <f>E$3*(E$1-E11)/E$2</f>
        <v/>
      </c>
      <c r="AP11" s="10">
        <f>F$3*(F$1-F11)/F$2</f>
        <v/>
      </c>
      <c r="AQ11" s="10">
        <f>G$3*(G$1-G11)/G$2</f>
        <v/>
      </c>
      <c r="AR11" s="10">
        <f>H$3*(H$1-H11)/H$2</f>
        <v/>
      </c>
      <c r="AS11" s="10">
        <f>I$3*(I$1-I11)/I$2</f>
        <v/>
      </c>
      <c r="AT11" s="10">
        <f>J$3*(J$1-J11)/J$2</f>
        <v/>
      </c>
      <c r="AU11" s="10">
        <f>K$3*(K$1-K11)/K$2</f>
        <v/>
      </c>
      <c r="AV11" s="10">
        <f>L$3*(L$1-L11)/L$2</f>
        <v/>
      </c>
      <c r="AW11" s="10">
        <f>M$3*(M$1-M11)/M$2</f>
        <v/>
      </c>
      <c r="AX11" s="10">
        <f>N$3*(N$1-N11)/N$2</f>
        <v/>
      </c>
      <c r="AY11" s="10">
        <f>((W11-$R$1)/$R$2)*$Y$4/$Y$3</f>
        <v/>
      </c>
      <c r="AZ11" s="10">
        <f>(O11-$V$1)/$V$2</f>
        <v/>
      </c>
      <c r="BB11" s="10">
        <f>R11+SUM(AM11:AZ11)+$Z$1+X11/$AC$1</f>
        <v/>
      </c>
      <c r="BC11" s="10">
        <f>Y11+SUM(AM11:AZ11)+$Z$1+X11/$AC$1-AO11-AP11-AV11</f>
        <v/>
      </c>
      <c r="BE11" s="6">
        <f>A11&amp;B11</f>
        <v/>
      </c>
    </row>
    <row r="12" hidden="1">
      <c r="A12" s="15" t="n">
        <v>46120</v>
      </c>
      <c r="B12" s="9" t="n">
        <v>1</v>
      </c>
      <c r="C12" s="9" t="n">
        <v>8.380000000000001</v>
      </c>
      <c r="D12" s="9" t="n">
        <v>40</v>
      </c>
      <c r="E12" s="9" t="n">
        <v>2120</v>
      </c>
      <c r="F12" s="9" t="n">
        <v>64.04000000000001</v>
      </c>
      <c r="G12" s="9" t="n">
        <v>2.55</v>
      </c>
      <c r="H12" s="9" t="n">
        <v>5.37</v>
      </c>
      <c r="I12" s="9" t="n">
        <v>3.4</v>
      </c>
      <c r="J12" s="9" t="n">
        <v>96</v>
      </c>
      <c r="K12" s="9" t="n">
        <v>530</v>
      </c>
      <c r="L12" s="9" t="n">
        <v>490</v>
      </c>
      <c r="M12" s="9" t="n">
        <v>43</v>
      </c>
      <c r="N12" s="9" t="n">
        <v>2.7</v>
      </c>
      <c r="O12" s="8" t="n">
        <v>7.36230905334733</v>
      </c>
      <c r="P12" s="9" t="n">
        <v>0.0565328557360866</v>
      </c>
      <c r="Q12" s="9" t="n">
        <v>0.416212355597369</v>
      </c>
      <c r="R12" s="9" t="n">
        <v>57.0591728814692</v>
      </c>
      <c r="S12" s="9" t="n">
        <v>73.6943647839414</v>
      </c>
      <c r="T12" s="9" t="n">
        <v>28.3454421239516</v>
      </c>
      <c r="U12" s="9" t="n">
        <v>4800</v>
      </c>
      <c r="V12" s="9" t="n">
        <v>76.1346145854624</v>
      </c>
      <c r="W12" s="8" t="n">
        <v>106.294586666667</v>
      </c>
      <c r="X12" s="9" t="n">
        <v>20.5087466666667</v>
      </c>
      <c r="Y12" s="9" t="n">
        <v>57.0726234150166</v>
      </c>
      <c r="Z12" s="8">
        <f>AVERAGE(BB12:BC12)</f>
        <v/>
      </c>
      <c r="AM12" s="10">
        <f>C$3*(C$1-C12)/C$2</f>
        <v/>
      </c>
      <c r="AN12" s="10">
        <f>D$3*(D$1-D12)/D$2</f>
        <v/>
      </c>
      <c r="AO12" s="10">
        <f>E$3*(E$1-E12)/E$2</f>
        <v/>
      </c>
      <c r="AP12" s="10">
        <f>F$3*(F$1-F12)/F$2</f>
        <v/>
      </c>
      <c r="AQ12" s="10">
        <f>G$3*(G$1-G12)/G$2</f>
        <v/>
      </c>
      <c r="AR12" s="10">
        <f>H$3*(H$1-H12)/H$2</f>
        <v/>
      </c>
      <c r="AS12" s="10">
        <f>I$3*(I$1-I12)/I$2</f>
        <v/>
      </c>
      <c r="AT12" s="10">
        <f>J$3*(J$1-J12)/J$2</f>
        <v/>
      </c>
      <c r="AU12" s="10">
        <f>K$3*(K$1-K12)/K$2</f>
        <v/>
      </c>
      <c r="AV12" s="10">
        <f>L$3*(L$1-L12)/L$2</f>
        <v/>
      </c>
      <c r="AW12" s="10">
        <f>M$3*(M$1-M12)/M$2</f>
        <v/>
      </c>
      <c r="AX12" s="10">
        <f>N$3*(N$1-N12)/N$2</f>
        <v/>
      </c>
      <c r="AY12" s="10">
        <f>((W12-$R$1)/$R$2)*$Y$4/$Y$3</f>
        <v/>
      </c>
      <c r="AZ12" s="10">
        <f>(O12-$V$1)/$V$2</f>
        <v/>
      </c>
      <c r="BB12" s="10">
        <f>R12+SUM(AM12:AZ12)+$Z$1+X12/$AC$1</f>
        <v/>
      </c>
      <c r="BC12" s="10">
        <f>Y12+SUM(AM12:AZ12)+$Z$1+X12/$AC$1-AO12-AP12-AV12</f>
        <v/>
      </c>
      <c r="BE12" s="6">
        <f>A12&amp;B12</f>
        <v/>
      </c>
    </row>
    <row r="13" hidden="1">
      <c r="A13" s="15" t="n">
        <v>46121</v>
      </c>
      <c r="B13" s="9" t="n">
        <v>1</v>
      </c>
      <c r="C13" s="9" t="n">
        <v>8.5</v>
      </c>
      <c r="D13" s="9" t="n">
        <v>41</v>
      </c>
      <c r="E13" s="9" t="n">
        <v>2030</v>
      </c>
      <c r="F13" s="9" t="n">
        <v>64.66</v>
      </c>
      <c r="G13" s="9" t="n">
        <v>2.69</v>
      </c>
      <c r="H13" s="9" t="n">
        <v>5.32</v>
      </c>
      <c r="I13" s="9" t="n">
        <v>3.4</v>
      </c>
      <c r="J13" s="9" t="n">
        <v>90</v>
      </c>
      <c r="K13" s="9" t="n">
        <v>550</v>
      </c>
      <c r="L13" s="9" t="n">
        <v>500</v>
      </c>
      <c r="M13" s="9" t="n">
        <v>39</v>
      </c>
      <c r="N13" s="9" t="n">
        <v>2.8</v>
      </c>
      <c r="O13" s="8" t="n">
        <v>6.84548854664362</v>
      </c>
      <c r="P13" s="9" t="n">
        <v>0.0610642273860699</v>
      </c>
      <c r="Q13" s="9" t="n">
        <v>0.418014469180983</v>
      </c>
      <c r="R13" s="9" t="n">
        <v>57.1070869925073</v>
      </c>
      <c r="S13" s="9" t="n">
        <v>73.7562526849332</v>
      </c>
      <c r="T13" s="9" t="n">
        <v>30.0576041684469</v>
      </c>
      <c r="U13" s="9" t="n">
        <v>4800</v>
      </c>
      <c r="V13" s="9" t="n">
        <v>78.5414694198569</v>
      </c>
      <c r="W13" s="8" t="n">
        <v>109.653555555556</v>
      </c>
      <c r="X13" s="9" t="n">
        <v>19.5717037037037</v>
      </c>
      <c r="Y13" s="9" t="n">
        <v>57.09735164952</v>
      </c>
      <c r="Z13" s="8">
        <f>AVERAGE(BB13:BC13)</f>
        <v/>
      </c>
      <c r="AM13" s="10">
        <f>C$3*(C$1-C13)/C$2</f>
        <v/>
      </c>
      <c r="AN13" s="10">
        <f>D$3*(D$1-D13)/D$2</f>
        <v/>
      </c>
      <c r="AO13" s="10">
        <f>E$3*(E$1-E13)/E$2</f>
        <v/>
      </c>
      <c r="AP13" s="10">
        <f>F$3*(F$1-F13)/F$2</f>
        <v/>
      </c>
      <c r="AQ13" s="10">
        <f>G$3*(G$1-G13)/G$2</f>
        <v/>
      </c>
      <c r="AR13" s="10">
        <f>H$3*(H$1-H13)/H$2</f>
        <v/>
      </c>
      <c r="AS13" s="10">
        <f>I$3*(I$1-I13)/I$2</f>
        <v/>
      </c>
      <c r="AT13" s="10">
        <f>J$3*(J$1-J13)/J$2</f>
        <v/>
      </c>
      <c r="AU13" s="10">
        <f>K$3*(K$1-K13)/K$2</f>
        <v/>
      </c>
      <c r="AV13" s="10">
        <f>L$3*(L$1-L13)/L$2</f>
        <v/>
      </c>
      <c r="AW13" s="10">
        <f>M$3*(M$1-M13)/M$2</f>
        <v/>
      </c>
      <c r="AX13" s="10">
        <f>N$3*(N$1-N13)/N$2</f>
        <v/>
      </c>
      <c r="AY13" s="10">
        <f>((W13-$R$1)/$R$2)*$Y$4/$Y$3</f>
        <v/>
      </c>
      <c r="AZ13" s="10">
        <f>(O13-$V$1)/$V$2</f>
        <v/>
      </c>
      <c r="BB13" s="10">
        <f>R13+SUM(AM13:AZ13)+$Z$1+X13/$AC$1</f>
        <v/>
      </c>
      <c r="BC13" s="10">
        <f>Y13+SUM(AM13:AZ13)+$Z$1+X13/$AC$1-AO13-AP13-AV13</f>
        <v/>
      </c>
      <c r="BE13" s="6">
        <f>A13&amp;B13</f>
        <v/>
      </c>
    </row>
    <row r="14" hidden="1">
      <c r="A14" s="15" t="n">
        <v>46122</v>
      </c>
      <c r="B14" s="9" t="n">
        <v>1</v>
      </c>
      <c r="C14" s="9" t="n">
        <v>8.460000000000001</v>
      </c>
      <c r="D14" s="9" t="n">
        <v>41</v>
      </c>
      <c r="E14" s="9" t="n">
        <v>2130</v>
      </c>
      <c r="F14" s="9" t="n">
        <v>65.19</v>
      </c>
      <c r="G14" s="9" t="n">
        <v>2.61</v>
      </c>
      <c r="H14" s="9" t="n">
        <v>5.39</v>
      </c>
      <c r="I14" s="9" t="n">
        <v>3.4</v>
      </c>
      <c r="J14" s="9" t="n">
        <v>90</v>
      </c>
      <c r="K14" s="9" t="n">
        <v>540</v>
      </c>
      <c r="L14" s="9" t="n">
        <v>490</v>
      </c>
      <c r="M14" s="9" t="n">
        <v>41</v>
      </c>
      <c r="N14" s="9" t="n">
        <v>2.7</v>
      </c>
      <c r="O14" s="8" t="n">
        <v>5.90815950782495</v>
      </c>
      <c r="P14" s="9" t="n">
        <v>0.0575520737334194</v>
      </c>
      <c r="Q14" s="9" t="n">
        <v>0.340026831623145</v>
      </c>
      <c r="R14" s="9" t="n">
        <v>57.1515853477072</v>
      </c>
      <c r="S14" s="9" t="n">
        <v>72.7869826638709</v>
      </c>
      <c r="T14" s="9" t="n">
        <v>30.2122259244876</v>
      </c>
      <c r="U14" s="9" t="n">
        <v>4800</v>
      </c>
      <c r="V14" s="9" t="n">
        <v>83.23840839741381</v>
      </c>
      <c r="W14" s="8" t="n">
        <v>100.9585</v>
      </c>
      <c r="X14" s="9" t="n">
        <v>18.4183333333333</v>
      </c>
      <c r="Y14" s="9" t="n">
        <v>57.1247122157793</v>
      </c>
      <c r="Z14" s="8">
        <f>AVERAGE(BB14:BC14)</f>
        <v/>
      </c>
      <c r="AM14" s="10">
        <f>C$3*(C$1-C14)/C$2</f>
        <v/>
      </c>
      <c r="AN14" s="10">
        <f>D$3*(D$1-D14)/D$2</f>
        <v/>
      </c>
      <c r="AO14" s="10">
        <f>E$3*(E$1-E14)/E$2</f>
        <v/>
      </c>
      <c r="AP14" s="10">
        <f>F$3*(F$1-F14)/F$2</f>
        <v/>
      </c>
      <c r="AQ14" s="10">
        <f>G$3*(G$1-G14)/G$2</f>
        <v/>
      </c>
      <c r="AR14" s="10">
        <f>H$3*(H$1-H14)/H$2</f>
        <v/>
      </c>
      <c r="AS14" s="10">
        <f>I$3*(I$1-I14)/I$2</f>
        <v/>
      </c>
      <c r="AT14" s="10">
        <f>J$3*(J$1-J14)/J$2</f>
        <v/>
      </c>
      <c r="AU14" s="10">
        <f>K$3*(K$1-K14)/K$2</f>
        <v/>
      </c>
      <c r="AV14" s="10">
        <f>L$3*(L$1-L14)/L$2</f>
        <v/>
      </c>
      <c r="AW14" s="10">
        <f>M$3*(M$1-M14)/M$2</f>
        <v/>
      </c>
      <c r="AX14" s="10">
        <f>N$3*(N$1-N14)/N$2</f>
        <v/>
      </c>
      <c r="AY14" s="10">
        <f>((W14-$R$1)/$R$2)*$Y$4/$Y$3</f>
        <v/>
      </c>
      <c r="AZ14" s="10">
        <f>(O14-$V$1)/$V$2</f>
        <v/>
      </c>
      <c r="BB14" s="10">
        <f>R14+SUM(AM14:AZ14)+$Z$1+X14/$AC$1</f>
        <v/>
      </c>
      <c r="BC14" s="10">
        <f>Y14+SUM(AM14:AZ14)+$Z$1+X14/$AC$1-AO14-AP14-AV14</f>
        <v/>
      </c>
      <c r="BE14" s="6">
        <f>A14&amp;B14</f>
        <v/>
      </c>
    </row>
    <row r="15" hidden="1">
      <c r="A15" s="15" t="n">
        <v>46123</v>
      </c>
      <c r="B15" s="9" t="n">
        <v>1</v>
      </c>
      <c r="C15" s="9" t="n">
        <v>8.44</v>
      </c>
      <c r="D15" s="9" t="n">
        <v>39</v>
      </c>
      <c r="E15" s="9" t="n">
        <v>2180</v>
      </c>
      <c r="F15" s="9" t="n">
        <v>65.12</v>
      </c>
      <c r="G15" s="9" t="n">
        <v>2.56</v>
      </c>
      <c r="H15" s="9" t="n">
        <v>5.35</v>
      </c>
      <c r="I15" s="9" t="n">
        <v>3.2</v>
      </c>
      <c r="J15" s="9" t="n">
        <v>93</v>
      </c>
      <c r="K15" s="9" t="n">
        <v>570</v>
      </c>
      <c r="L15" s="9" t="n">
        <v>510</v>
      </c>
      <c r="M15" s="9" t="n">
        <v>42</v>
      </c>
      <c r="N15" s="9" t="n">
        <v>2.9</v>
      </c>
      <c r="O15" s="8" t="n">
        <v>5.71082291881787</v>
      </c>
      <c r="P15" s="9" t="n">
        <v>0.0681771742081141</v>
      </c>
      <c r="Q15" s="9" t="n">
        <v>0.389347769007937</v>
      </c>
      <c r="R15" s="9" t="n">
        <v>57.1500494642925</v>
      </c>
      <c r="S15" s="9" t="n">
        <v>73.2803812708166</v>
      </c>
      <c r="T15" s="9" t="n">
        <v>29.5870520384772</v>
      </c>
      <c r="U15" s="9" t="n">
        <v>4800</v>
      </c>
      <c r="V15" s="9" t="n">
        <v>83.2361862540598</v>
      </c>
      <c r="W15" s="8" t="n">
        <v>120.40912</v>
      </c>
      <c r="X15" s="9" t="n">
        <v>17.9533733333333</v>
      </c>
      <c r="Y15" s="9" t="n">
        <v>57.1321910755271</v>
      </c>
      <c r="Z15" s="8">
        <f>AVERAGE(BB15:BC15)</f>
        <v/>
      </c>
      <c r="AM15" s="10">
        <f>C$3*(C$1-C15)/C$2</f>
        <v/>
      </c>
      <c r="AN15" s="10">
        <f>D$3*(D$1-D15)/D$2</f>
        <v/>
      </c>
      <c r="AO15" s="10">
        <f>E$3*(E$1-E15)/E$2</f>
        <v/>
      </c>
      <c r="AP15" s="10">
        <f>F$3*(F$1-F15)/F$2</f>
        <v/>
      </c>
      <c r="AQ15" s="10">
        <f>G$3*(G$1-G15)/G$2</f>
        <v/>
      </c>
      <c r="AR15" s="10">
        <f>H$3*(H$1-H15)/H$2</f>
        <v/>
      </c>
      <c r="AS15" s="10">
        <f>I$3*(I$1-I15)/I$2</f>
        <v/>
      </c>
      <c r="AT15" s="10">
        <f>J$3*(J$1-J15)/J$2</f>
        <v/>
      </c>
      <c r="AU15" s="10">
        <f>K$3*(K$1-K15)/K$2</f>
        <v/>
      </c>
      <c r="AV15" s="10">
        <f>L$3*(L$1-L15)/L$2</f>
        <v/>
      </c>
      <c r="AW15" s="10">
        <f>M$3*(M$1-M15)/M$2</f>
        <v/>
      </c>
      <c r="AX15" s="10">
        <f>N$3*(N$1-N15)/N$2</f>
        <v/>
      </c>
      <c r="AY15" s="10">
        <f>((W15-$R$1)/$R$2)*$Y$4/$Y$3</f>
        <v/>
      </c>
      <c r="AZ15" s="10">
        <f>(O15-$V$1)/$V$2</f>
        <v/>
      </c>
      <c r="BB15" s="10">
        <f>R15+SUM(AM15:AZ15)+$Z$1+X15/$AC$1</f>
        <v/>
      </c>
      <c r="BC15" s="10">
        <f>Y15+SUM(AM15:AZ15)+$Z$1+X15/$AC$1-AO15-AP15-AV15</f>
        <v/>
      </c>
      <c r="BE15" s="6">
        <f>A15&amp;B15</f>
        <v/>
      </c>
    </row>
    <row r="16" hidden="1">
      <c r="A16" s="15" t="n">
        <v>46124</v>
      </c>
      <c r="B16" s="9" t="n">
        <v>1</v>
      </c>
      <c r="C16" s="9" t="n">
        <v>8.550000000000001</v>
      </c>
      <c r="D16" s="9" t="n">
        <v>40</v>
      </c>
      <c r="E16" s="9" t="n">
        <v>2140</v>
      </c>
      <c r="F16" s="9" t="n">
        <v>64.45</v>
      </c>
      <c r="G16" s="9" t="n">
        <v>2.64</v>
      </c>
      <c r="H16" s="9" t="n">
        <v>5.44</v>
      </c>
      <c r="I16" s="9" t="n">
        <v>3.3</v>
      </c>
      <c r="J16" s="9" t="n">
        <v>96</v>
      </c>
      <c r="K16" s="9" t="n">
        <v>550</v>
      </c>
      <c r="L16" s="9" t="n">
        <v>500</v>
      </c>
      <c r="M16" s="9" t="n">
        <v>43</v>
      </c>
      <c r="N16" s="9" t="n">
        <v>2.8</v>
      </c>
      <c r="O16" s="8" t="n">
        <v>6.7238519037166</v>
      </c>
      <c r="P16" s="9" t="n">
        <v>0.0618275523962201</v>
      </c>
      <c r="Q16" s="9" t="n">
        <v>0.415719305881462</v>
      </c>
      <c r="R16" s="9" t="n">
        <v>57.1037899724825</v>
      </c>
      <c r="S16" s="9" t="n">
        <v>73.7518011882194</v>
      </c>
      <c r="T16" s="9" t="n">
        <v>29.4274553865767</v>
      </c>
      <c r="U16" s="9" t="n">
        <v>4800</v>
      </c>
      <c r="V16" s="9" t="n">
        <v>78.8884170859661</v>
      </c>
      <c r="W16" s="8" t="n">
        <v>110.950863636364</v>
      </c>
      <c r="X16" s="9" t="n">
        <v>18.1417878787879</v>
      </c>
      <c r="Y16" s="9" t="n">
        <v>57.0914453847618</v>
      </c>
      <c r="Z16" s="8">
        <f>AVERAGE(BB16:BC16)</f>
        <v/>
      </c>
      <c r="AM16" s="10">
        <f>C$3*(C$1-C16)/C$2</f>
        <v/>
      </c>
      <c r="AN16" s="10">
        <f>D$3*(D$1-D16)/D$2</f>
        <v/>
      </c>
      <c r="AO16" s="10">
        <f>E$3*(E$1-E16)/E$2</f>
        <v/>
      </c>
      <c r="AP16" s="10">
        <f>F$3*(F$1-F16)/F$2</f>
        <v/>
      </c>
      <c r="AQ16" s="10">
        <f>G$3*(G$1-G16)/G$2</f>
        <v/>
      </c>
      <c r="AR16" s="10">
        <f>H$3*(H$1-H16)/H$2</f>
        <v/>
      </c>
      <c r="AS16" s="10">
        <f>I$3*(I$1-I16)/I$2</f>
        <v/>
      </c>
      <c r="AT16" s="10">
        <f>J$3*(J$1-J16)/J$2</f>
        <v/>
      </c>
      <c r="AU16" s="10">
        <f>K$3*(K$1-K16)/K$2</f>
        <v/>
      </c>
      <c r="AV16" s="10">
        <f>L$3*(L$1-L16)/L$2</f>
        <v/>
      </c>
      <c r="AW16" s="10">
        <f>M$3*(M$1-M16)/M$2</f>
        <v/>
      </c>
      <c r="AX16" s="10">
        <f>N$3*(N$1-N16)/N$2</f>
        <v/>
      </c>
      <c r="AY16" s="10">
        <f>((W16-$R$1)/$R$2)*$Y$4/$Y$3</f>
        <v/>
      </c>
      <c r="AZ16" s="10">
        <f>(O16-$V$1)/$V$2</f>
        <v/>
      </c>
      <c r="BB16" s="10">
        <f>R16+SUM(AM16:AZ16)+$Z$1+X16/$AC$1</f>
        <v/>
      </c>
      <c r="BC16" s="10">
        <f>Y16+SUM(AM16:AZ16)+$Z$1+X16/$AC$1-AO16-AP16-AV16</f>
        <v/>
      </c>
      <c r="BE16" s="6">
        <f>A16&amp;B16</f>
        <v/>
      </c>
    </row>
    <row r="17" hidden="1">
      <c r="A17" s="15" t="n">
        <v>46124</v>
      </c>
      <c r="B17" s="9" t="n">
        <v>3</v>
      </c>
      <c r="C17" s="9" t="n">
        <v>8.5</v>
      </c>
      <c r="D17" s="9" t="n">
        <v>40</v>
      </c>
      <c r="E17" s="9" t="n">
        <v>2140</v>
      </c>
      <c r="F17" s="9" t="n">
        <v>64.41</v>
      </c>
      <c r="G17" s="9" t="n">
        <v>2.6</v>
      </c>
      <c r="H17" s="9" t="n">
        <v>5.49</v>
      </c>
      <c r="I17" s="9" t="n">
        <v>3.3</v>
      </c>
      <c r="J17" s="9" t="n">
        <v>96</v>
      </c>
      <c r="K17" s="9" t="n">
        <v>540</v>
      </c>
      <c r="L17" s="9" t="n">
        <v>490</v>
      </c>
      <c r="M17" s="9" t="n">
        <v>44</v>
      </c>
      <c r="N17" s="9" t="n">
        <v>3</v>
      </c>
      <c r="O17" s="8" t="n">
        <v>6.03691407249306</v>
      </c>
      <c r="P17" s="9" t="n">
        <v>0.0580817945464714</v>
      </c>
      <c r="Q17" s="9" t="n">
        <v>0.350634802853244</v>
      </c>
      <c r="R17" s="9" t="n">
        <v>57.1170985813822</v>
      </c>
      <c r="S17" s="9" t="n">
        <v>73.6520208767145</v>
      </c>
      <c r="T17" s="9" t="n">
        <v>27.6193520845107</v>
      </c>
      <c r="U17" s="9" t="n">
        <v>4800</v>
      </c>
      <c r="V17" s="9" t="n">
        <v>81.9574181176736</v>
      </c>
      <c r="W17" s="8" t="n">
        <v>101.960638211382</v>
      </c>
      <c r="X17" s="9" t="n">
        <v>18.1315284552845</v>
      </c>
      <c r="Y17" s="9" t="n">
        <v>57.1110241398358</v>
      </c>
      <c r="Z17" s="8">
        <f>AVERAGE(BB17:BC17)</f>
        <v/>
      </c>
      <c r="AM17" s="10">
        <f>C$3*(C$1-C17)/C$2</f>
        <v/>
      </c>
      <c r="AN17" s="10">
        <f>D$3*(D$1-D17)/D$2</f>
        <v/>
      </c>
      <c r="AO17" s="10">
        <f>E$3*(E$1-E17)/E$2</f>
        <v/>
      </c>
      <c r="AP17" s="10">
        <f>F$3*(F$1-F17)/F$2</f>
        <v/>
      </c>
      <c r="AQ17" s="10">
        <f>G$3*(G$1-G17)/G$2</f>
        <v/>
      </c>
      <c r="AR17" s="10">
        <f>H$3*(H$1-H17)/H$2</f>
        <v/>
      </c>
      <c r="AS17" s="10">
        <f>I$3*(I$1-I17)/I$2</f>
        <v/>
      </c>
      <c r="AT17" s="10">
        <f>J$3*(J$1-J17)/J$2</f>
        <v/>
      </c>
      <c r="AU17" s="10">
        <f>K$3*(K$1-K17)/K$2</f>
        <v/>
      </c>
      <c r="AV17" s="10">
        <f>L$3*(L$1-L17)/L$2</f>
        <v/>
      </c>
      <c r="AW17" s="10">
        <f>M$3*(M$1-M17)/M$2</f>
        <v/>
      </c>
      <c r="AX17" s="10">
        <f>N$3*(N$1-N17)/N$2</f>
        <v/>
      </c>
      <c r="AY17" s="10">
        <f>((W17-$R$1)/$R$2)*$Y$4/$Y$3</f>
        <v/>
      </c>
      <c r="AZ17" s="10">
        <f>(O17-$V$1)/$V$2</f>
        <v/>
      </c>
      <c r="BB17" s="10">
        <f>R17+SUM(AM17:AZ17)+$Z$1+X17/$AC$1</f>
        <v/>
      </c>
      <c r="BC17" s="10">
        <f>Y17+SUM(AM17:AZ17)+$Z$1+X17/$AC$1-AO17-AP17-AV17</f>
        <v/>
      </c>
      <c r="BE17" s="6">
        <f>A17&amp;B17</f>
        <v/>
      </c>
    </row>
    <row r="18" hidden="1">
      <c r="A18" s="15" t="n">
        <v>46126</v>
      </c>
      <c r="B18" s="9" t="n">
        <v>1</v>
      </c>
      <c r="C18" s="9" t="n">
        <v>8.5</v>
      </c>
      <c r="D18" s="9" t="n">
        <v>42</v>
      </c>
      <c r="E18" s="9" t="n">
        <v>2050</v>
      </c>
      <c r="F18" s="9" t="n">
        <v>64.41</v>
      </c>
      <c r="G18" s="9" t="n">
        <v>2.6</v>
      </c>
      <c r="H18" s="9" t="n">
        <v>5.49</v>
      </c>
      <c r="I18" s="9" t="n">
        <v>3.5</v>
      </c>
      <c r="J18" s="9" t="n">
        <v>99</v>
      </c>
      <c r="K18" s="9" t="n">
        <v>540</v>
      </c>
      <c r="L18" s="9" t="n">
        <v>500</v>
      </c>
      <c r="M18" s="9" t="n">
        <v>43</v>
      </c>
      <c r="N18" s="9" t="n">
        <v>3</v>
      </c>
      <c r="O18" s="8" t="n">
        <v>6.20052875794306</v>
      </c>
      <c r="P18" s="9" t="n">
        <v>0.054437574002639</v>
      </c>
      <c r="Q18" s="9" t="n">
        <v>0.337541743116016</v>
      </c>
      <c r="R18" s="9" t="n">
        <v>57.0258594254788</v>
      </c>
      <c r="S18" s="9" t="n">
        <v>72.3059608812319</v>
      </c>
      <c r="T18" s="9" t="n">
        <v>27.3235170597226</v>
      </c>
      <c r="U18" s="9" t="n">
        <v>4800</v>
      </c>
      <c r="V18" s="9" t="n">
        <v>75.6390415162918</v>
      </c>
      <c r="W18" s="8" t="n">
        <v>95.29546000000001</v>
      </c>
      <c r="X18" s="9" t="n">
        <v>18.09168</v>
      </c>
      <c r="Y18" s="9" t="n">
        <v>57.0279282738875</v>
      </c>
      <c r="Z18" s="8">
        <f>AVERAGE(BB18:BC18)</f>
        <v/>
      </c>
      <c r="AM18" s="10">
        <f>C$3*(C$1-C18)/C$2</f>
        <v/>
      </c>
      <c r="AN18" s="10">
        <f>D$3*(D$1-D18)/D$2</f>
        <v/>
      </c>
      <c r="AO18" s="10">
        <f>E$3*(E$1-E18)/E$2</f>
        <v/>
      </c>
      <c r="AP18" s="10">
        <f>F$3*(F$1-F18)/F$2</f>
        <v/>
      </c>
      <c r="AQ18" s="10">
        <f>G$3*(G$1-G18)/G$2</f>
        <v/>
      </c>
      <c r="AR18" s="10">
        <f>H$3*(H$1-H18)/H$2</f>
        <v/>
      </c>
      <c r="AS18" s="10">
        <f>I$3*(I$1-I18)/I$2</f>
        <v/>
      </c>
      <c r="AT18" s="10">
        <f>J$3*(J$1-J18)/J$2</f>
        <v/>
      </c>
      <c r="AU18" s="10">
        <f>K$3*(K$1-K18)/K$2</f>
        <v/>
      </c>
      <c r="AV18" s="10">
        <f>L$3*(L$1-L18)/L$2</f>
        <v/>
      </c>
      <c r="AW18" s="10">
        <f>M$3*(M$1-M18)/M$2</f>
        <v/>
      </c>
      <c r="AX18" s="10">
        <f>N$3*(N$1-N18)/N$2</f>
        <v/>
      </c>
      <c r="AY18" s="10">
        <f>((W18-$R$1)/$R$2)*$Y$4/$Y$3</f>
        <v/>
      </c>
      <c r="AZ18" s="10">
        <f>(O18-$V$1)/$V$2</f>
        <v/>
      </c>
      <c r="BB18" s="10">
        <f>R18+SUM(AM18:AZ18)+$Z$1+X18/$AC$1</f>
        <v/>
      </c>
      <c r="BC18" s="10">
        <f>Y18+SUM(AM18:AZ18)+$Z$1+X18/$AC$1-AO18-AP18-AV18</f>
        <v/>
      </c>
      <c r="BE18" s="6">
        <f>A18&amp;B18</f>
        <v/>
      </c>
    </row>
    <row r="19" hidden="1">
      <c r="A19" s="15" t="n">
        <v>46127</v>
      </c>
      <c r="B19" s="9" t="n">
        <v>1</v>
      </c>
      <c r="C19" s="9" t="n">
        <v>8.31</v>
      </c>
      <c r="D19" s="9" t="n">
        <v>41</v>
      </c>
      <c r="E19" s="9" t="n">
        <v>2090</v>
      </c>
      <c r="F19" s="9" t="n">
        <v>64.25</v>
      </c>
      <c r="G19" s="9" t="n">
        <v>2.76</v>
      </c>
      <c r="H19" s="9" t="n">
        <v>5.34</v>
      </c>
      <c r="I19" s="9" t="n">
        <v>3.3</v>
      </c>
      <c r="J19" s="9" t="n">
        <v>96</v>
      </c>
      <c r="K19" s="9" t="n">
        <v>530</v>
      </c>
      <c r="L19" s="9" t="n">
        <v>490</v>
      </c>
      <c r="M19" s="9" t="n">
        <v>38</v>
      </c>
      <c r="N19" s="9" t="n">
        <v>2.9</v>
      </c>
      <c r="O19" s="8" t="n">
        <v>6.43000234293292</v>
      </c>
      <c r="P19" s="9" t="n">
        <v>0.0487947128192466</v>
      </c>
      <c r="Q19" s="9" t="n">
        <v>0.313750117750495</v>
      </c>
      <c r="R19" s="9" t="n">
        <v>59.8949352657233</v>
      </c>
      <c r="S19" s="9" t="n">
        <v>73.7171126177675</v>
      </c>
      <c r="T19" s="9" t="n">
        <v>27.8906438590759</v>
      </c>
      <c r="U19" s="9" t="n">
        <v>4800</v>
      </c>
      <c r="V19" s="9" t="n">
        <v>75.2852726423673</v>
      </c>
      <c r="W19" s="8" t="n">
        <v>86.5973333333333</v>
      </c>
      <c r="X19" s="9" t="n">
        <v>18.3454666666667</v>
      </c>
      <c r="Y19" s="9" t="n">
        <v>59.2121332000379</v>
      </c>
      <c r="Z19" s="8">
        <f>AVERAGE(BB19:BC19)</f>
        <v/>
      </c>
      <c r="AM19" s="10">
        <f>C$3*(C$1-C19)/C$2</f>
        <v/>
      </c>
      <c r="AN19" s="10">
        <f>D$3*(D$1-D19)/D$2</f>
        <v/>
      </c>
      <c r="AO19" s="10">
        <f>E$3*(E$1-E19)/E$2</f>
        <v/>
      </c>
      <c r="AP19" s="10">
        <f>F$3*(F$1-F19)/F$2</f>
        <v/>
      </c>
      <c r="AQ19" s="10">
        <f>G$3*(G$1-G19)/G$2</f>
        <v/>
      </c>
      <c r="AR19" s="10">
        <f>H$3*(H$1-H19)/H$2</f>
        <v/>
      </c>
      <c r="AS19" s="10">
        <f>I$3*(I$1-I19)/I$2</f>
        <v/>
      </c>
      <c r="AT19" s="10">
        <f>J$3*(J$1-J19)/J$2</f>
        <v/>
      </c>
      <c r="AU19" s="10">
        <f>K$3*(K$1-K19)/K$2</f>
        <v/>
      </c>
      <c r="AV19" s="10">
        <f>L$3*(L$1-L19)/L$2</f>
        <v/>
      </c>
      <c r="AW19" s="10">
        <f>M$3*(M$1-M19)/M$2</f>
        <v/>
      </c>
      <c r="AX19" s="10">
        <f>N$3*(N$1-N19)/N$2</f>
        <v/>
      </c>
      <c r="AY19" s="10">
        <f>((W19-$R$1)/$R$2)*$Y$4/$Y$3</f>
        <v/>
      </c>
      <c r="AZ19" s="10">
        <f>(O19-$V$1)/$V$2</f>
        <v/>
      </c>
      <c r="BB19" s="10">
        <f>R19+SUM(AM19:AZ19)+$Z$1+X19/$AC$1</f>
        <v/>
      </c>
      <c r="BC19" s="10">
        <f>Y19+SUM(AM19:AZ19)+$Z$1+X19/$AC$1-AO19-AP19-AV19</f>
        <v/>
      </c>
      <c r="BE19" s="6">
        <f>A19&amp;B19</f>
        <v/>
      </c>
    </row>
    <row r="20" hidden="1">
      <c r="A20" s="15" t="n">
        <v>46128</v>
      </c>
      <c r="B20" s="9" t="n">
        <v>1</v>
      </c>
      <c r="C20" s="9" t="n">
        <v>8.449999999999999</v>
      </c>
      <c r="D20" s="9" t="n">
        <v>38</v>
      </c>
      <c r="E20" s="9" t="n">
        <v>2190</v>
      </c>
      <c r="F20" s="9" t="n">
        <v>64.7</v>
      </c>
      <c r="G20" s="9" t="n">
        <v>2.89</v>
      </c>
      <c r="H20" s="9" t="n">
        <v>5.48</v>
      </c>
      <c r="I20" s="9" t="n">
        <v>3.2</v>
      </c>
      <c r="J20" s="9" t="n">
        <v>90</v>
      </c>
      <c r="K20" s="9" t="n">
        <v>550</v>
      </c>
      <c r="L20" s="9" t="n">
        <v>500</v>
      </c>
      <c r="M20" s="9" t="n">
        <v>34</v>
      </c>
      <c r="N20" s="9" t="n">
        <v>3</v>
      </c>
      <c r="O20" s="8" t="n">
        <v>5.95720749477706</v>
      </c>
      <c r="P20" s="9" t="n">
        <v>0.0505119932410468</v>
      </c>
      <c r="Q20" s="9" t="n">
        <v>0.300910424711692</v>
      </c>
      <c r="R20" s="9" t="n">
        <v>57.1488535272225</v>
      </c>
      <c r="S20" s="9" t="n">
        <v>73.18748056737211</v>
      </c>
      <c r="T20" s="9" t="n">
        <v>29.5772567038049</v>
      </c>
      <c r="U20" s="9" t="n">
        <v>4800</v>
      </c>
      <c r="V20" s="9" t="n">
        <v>83.23443965521361</v>
      </c>
      <c r="W20" s="8" t="n">
        <v>91.677025</v>
      </c>
      <c r="X20" s="9" t="n">
        <v>18.77305</v>
      </c>
      <c r="Y20" s="9" t="n">
        <v>57.1420855015323</v>
      </c>
      <c r="Z20" s="8">
        <f>AVERAGE(BB20:BC20)</f>
        <v/>
      </c>
      <c r="AM20" s="10">
        <f>C$3*(C$1-C20)/C$2</f>
        <v/>
      </c>
      <c r="AN20" s="10">
        <f>D$3*(D$1-D20)/D$2</f>
        <v/>
      </c>
      <c r="AO20" s="10">
        <f>E$3*(E$1-E20)/E$2</f>
        <v/>
      </c>
      <c r="AP20" s="10">
        <f>F$3*(F$1-F20)/F$2</f>
        <v/>
      </c>
      <c r="AQ20" s="10">
        <f>G$3*(G$1-G20)/G$2</f>
        <v/>
      </c>
      <c r="AR20" s="10">
        <f>H$3*(H$1-H20)/H$2</f>
        <v/>
      </c>
      <c r="AS20" s="10">
        <f>I$3*(I$1-I20)/I$2</f>
        <v/>
      </c>
      <c r="AT20" s="10">
        <f>J$3*(J$1-J20)/J$2</f>
        <v/>
      </c>
      <c r="AU20" s="10">
        <f>K$3*(K$1-K20)/K$2</f>
        <v/>
      </c>
      <c r="AV20" s="10">
        <f>L$3*(L$1-L20)/L$2</f>
        <v/>
      </c>
      <c r="AW20" s="10">
        <f>M$3*(M$1-M20)/M$2</f>
        <v/>
      </c>
      <c r="AX20" s="10">
        <f>N$3*(N$1-N20)/N$2</f>
        <v/>
      </c>
      <c r="AY20" s="10">
        <f>((W20-$R$1)/$R$2)*$Y$4/$Y$3</f>
        <v/>
      </c>
      <c r="AZ20" s="10">
        <f>(O20-$V$1)/$V$2</f>
        <v/>
      </c>
      <c r="BB20" s="10">
        <f>R20+SUM(AM20:AZ20)+$Z$1+X20/$AC$1</f>
        <v/>
      </c>
      <c r="BC20" s="10">
        <f>Y20+SUM(AM20:AZ20)+$Z$1+X20/$AC$1-AO20-AP20-AV20</f>
        <v/>
      </c>
      <c r="BE20" s="6">
        <f>A20&amp;B20</f>
        <v/>
      </c>
    </row>
    <row r="21" hidden="1">
      <c r="A21" s="15" t="n">
        <v>46128</v>
      </c>
      <c r="B21" s="9" t="n">
        <v>3</v>
      </c>
      <c r="C21" s="9" t="n">
        <v>8.48</v>
      </c>
      <c r="D21" s="9" t="n">
        <v>39</v>
      </c>
      <c r="E21" s="9" t="n">
        <v>2180</v>
      </c>
      <c r="F21" s="9" t="n">
        <v>65.11</v>
      </c>
      <c r="G21" s="9" t="n">
        <v>2.94</v>
      </c>
      <c r="H21" s="9" t="n">
        <v>5.51</v>
      </c>
      <c r="I21" s="9" t="n">
        <v>3.3</v>
      </c>
      <c r="J21" s="9" t="n">
        <v>90</v>
      </c>
      <c r="K21" s="9" t="n">
        <v>550</v>
      </c>
      <c r="L21" s="9" t="n">
        <v>500</v>
      </c>
      <c r="M21" s="9" t="n">
        <v>37</v>
      </c>
      <c r="N21" s="9" t="n">
        <v>2.8</v>
      </c>
      <c r="O21" s="8" t="n">
        <v>6.52355689578692</v>
      </c>
      <c r="P21" s="9" t="n">
        <v>0.06652806798536021</v>
      </c>
      <c r="Q21" s="9" t="n">
        <v>0.433999636669278</v>
      </c>
      <c r="R21" s="9" t="n">
        <v>57.281590469058</v>
      </c>
      <c r="S21" s="9" t="n">
        <v>68.83747215257659</v>
      </c>
      <c r="T21" s="9" t="n">
        <v>30.1888201981282</v>
      </c>
      <c r="U21" s="9" t="n">
        <v>4800</v>
      </c>
      <c r="V21" s="9" t="n">
        <v>83.17393415134561</v>
      </c>
      <c r="W21" s="8" t="n">
        <v>117.241974789916</v>
      </c>
      <c r="X21" s="9" t="n">
        <v>18.2055714285714</v>
      </c>
      <c r="Y21" s="9" t="n">
        <v>57.0761417714398</v>
      </c>
      <c r="Z21" s="8">
        <f>AVERAGE(BB21:BC21)</f>
        <v/>
      </c>
      <c r="AM21" s="10">
        <f>C$3*(C$1-C21)/C$2</f>
        <v/>
      </c>
      <c r="AN21" s="10">
        <f>D$3*(D$1-D21)/D$2</f>
        <v/>
      </c>
      <c r="AO21" s="10">
        <f>E$3*(E$1-E21)/E$2</f>
        <v/>
      </c>
      <c r="AP21" s="10">
        <f>F$3*(F$1-F21)/F$2</f>
        <v/>
      </c>
      <c r="AQ21" s="10">
        <f>G$3*(G$1-G21)/G$2</f>
        <v/>
      </c>
      <c r="AR21" s="10">
        <f>H$3*(H$1-H21)/H$2</f>
        <v/>
      </c>
      <c r="AS21" s="10">
        <f>I$3*(I$1-I21)/I$2</f>
        <v/>
      </c>
      <c r="AT21" s="10">
        <f>J$3*(J$1-J21)/J$2</f>
        <v/>
      </c>
      <c r="AU21" s="10">
        <f>K$3*(K$1-K21)/K$2</f>
        <v/>
      </c>
      <c r="AV21" s="10">
        <f>L$3*(L$1-L21)/L$2</f>
        <v/>
      </c>
      <c r="AW21" s="10">
        <f>M$3*(M$1-M21)/M$2</f>
        <v/>
      </c>
      <c r="AX21" s="10">
        <f>N$3*(N$1-N21)/N$2</f>
        <v/>
      </c>
      <c r="AY21" s="10">
        <f>((W21-$R$1)/$R$2)*$Y$4/$Y$3</f>
        <v/>
      </c>
      <c r="AZ21" s="10">
        <f>(O21-$V$1)/$V$2</f>
        <v/>
      </c>
      <c r="BB21" s="10">
        <f>R21+SUM(AM21:AZ21)+$Z$1+X21/$AC$1</f>
        <v/>
      </c>
      <c r="BC21" s="10">
        <f>Y21+SUM(AM21:AZ21)+$Z$1+X21/$AC$1-AO21-AP21-AV21</f>
        <v/>
      </c>
      <c r="BE21" s="6">
        <f>A21&amp;B21</f>
        <v/>
      </c>
    </row>
    <row r="22" hidden="1">
      <c r="A22" s="15" t="n">
        <v>46129</v>
      </c>
      <c r="B22" s="9" t="n">
        <v>1</v>
      </c>
      <c r="C22" s="9" t="n">
        <v>8.48</v>
      </c>
      <c r="D22" s="9" t="n">
        <v>39</v>
      </c>
      <c r="E22" s="9" t="n">
        <v>2210</v>
      </c>
      <c r="F22" s="9" t="n">
        <v>65.11</v>
      </c>
      <c r="G22" s="9" t="n">
        <v>2.94</v>
      </c>
      <c r="H22" s="9" t="n">
        <v>5.51</v>
      </c>
      <c r="I22" s="9" t="n">
        <v>3.3</v>
      </c>
      <c r="J22" s="9" t="n">
        <v>90</v>
      </c>
      <c r="K22" s="9" t="n">
        <v>570</v>
      </c>
      <c r="L22" s="9" t="n">
        <v>510</v>
      </c>
      <c r="M22" s="9" t="n">
        <v>44</v>
      </c>
      <c r="N22" s="9" t="n">
        <v>2.8</v>
      </c>
      <c r="O22" s="8" t="n">
        <v>5.96660498624693</v>
      </c>
      <c r="P22" s="9" t="n">
        <v>0.06349924415401879</v>
      </c>
      <c r="Q22" s="9" t="n">
        <v>0.37887490679228</v>
      </c>
      <c r="R22" s="9" t="n">
        <v>57.0997594233573</v>
      </c>
      <c r="S22" s="9" t="n">
        <v>68.3660319133802</v>
      </c>
      <c r="T22" s="9" t="n">
        <v>30.1848167459455</v>
      </c>
      <c r="U22" s="9" t="n">
        <v>4800</v>
      </c>
      <c r="V22" s="9" t="n">
        <v>83.1629041626198</v>
      </c>
      <c r="W22" s="8" t="n">
        <v>112.121966666667</v>
      </c>
      <c r="X22" s="9" t="n">
        <v>18.11344</v>
      </c>
      <c r="Y22" s="9" t="n">
        <v>57.0825887458492</v>
      </c>
      <c r="Z22" s="8">
        <f>AVERAGE(BB22:BC22)</f>
        <v/>
      </c>
      <c r="AM22" s="10">
        <f>C$3*(C$1-C22)/C$2</f>
        <v/>
      </c>
      <c r="AN22" s="10">
        <f>D$3*(D$1-D22)/D$2</f>
        <v/>
      </c>
      <c r="AO22" s="10">
        <f>E$3*(E$1-E22)/E$2</f>
        <v/>
      </c>
      <c r="AP22" s="10">
        <f>F$3*(F$1-F22)/F$2</f>
        <v/>
      </c>
      <c r="AQ22" s="10">
        <f>G$3*(G$1-G22)/G$2</f>
        <v/>
      </c>
      <c r="AR22" s="10">
        <f>H$3*(H$1-H22)/H$2</f>
        <v/>
      </c>
      <c r="AS22" s="10">
        <f>I$3*(I$1-I22)/I$2</f>
        <v/>
      </c>
      <c r="AT22" s="10">
        <f>J$3*(J$1-J22)/J$2</f>
        <v/>
      </c>
      <c r="AU22" s="10">
        <f>K$3*(K$1-K22)/K$2</f>
        <v/>
      </c>
      <c r="AV22" s="10">
        <f>L$3*(L$1-L22)/L$2</f>
        <v/>
      </c>
      <c r="AW22" s="10">
        <f>M$3*(M$1-M22)/M$2</f>
        <v/>
      </c>
      <c r="AX22" s="10">
        <f>N$3*(N$1-N22)/N$2</f>
        <v/>
      </c>
      <c r="AY22" s="10">
        <f>((W22-$R$1)/$R$2)*$Y$4/$Y$3</f>
        <v/>
      </c>
      <c r="AZ22" s="10">
        <f>(O22-$V$1)/$V$2</f>
        <v/>
      </c>
      <c r="BB22" s="10">
        <f>R22+SUM(AM22:AZ22)+$Z$1+X22/$AC$1</f>
        <v/>
      </c>
      <c r="BC22" s="10">
        <f>Y22+SUM(AM22:AZ22)+$Z$1+X22/$AC$1-AO22-AP22-AV22</f>
        <v/>
      </c>
      <c r="BE22" s="6">
        <f>A22&amp;B22</f>
        <v/>
      </c>
    </row>
    <row r="23" hidden="1">
      <c r="A23" s="15" t="n">
        <v>46130</v>
      </c>
      <c r="B23" s="9" t="n">
        <v>1</v>
      </c>
      <c r="C23" s="9" t="n">
        <v>8.52</v>
      </c>
      <c r="D23" s="9" t="n">
        <v>38</v>
      </c>
      <c r="E23" s="9" t="n">
        <v>2190</v>
      </c>
      <c r="F23" s="9" t="n">
        <v>65.20999999999999</v>
      </c>
      <c r="G23" s="9" t="n">
        <v>2.84</v>
      </c>
      <c r="H23" s="9" t="n">
        <v>5.46</v>
      </c>
      <c r="I23" s="9" t="n">
        <v>3.2</v>
      </c>
      <c r="J23" s="9" t="n">
        <v>90</v>
      </c>
      <c r="K23" s="9" t="n">
        <v>560</v>
      </c>
      <c r="L23" s="9" t="n">
        <v>500</v>
      </c>
      <c r="M23" s="9" t="n">
        <v>39</v>
      </c>
      <c r="N23" s="9" t="n">
        <v>2.8</v>
      </c>
      <c r="O23" s="8" t="n">
        <v>5.97597169470231</v>
      </c>
      <c r="P23" s="9" t="n">
        <v>0.058144933242979</v>
      </c>
      <c r="Q23" s="9" t="n">
        <v>0.347472475250398</v>
      </c>
      <c r="R23" s="9" t="n">
        <v>57.1379318854235</v>
      </c>
      <c r="S23" s="9" t="n">
        <v>71.6228512058528</v>
      </c>
      <c r="T23" s="9" t="n">
        <v>30.2050094916816</v>
      </c>
      <c r="U23" s="9" t="n">
        <v>4800</v>
      </c>
      <c r="V23" s="9" t="n">
        <v>83.21853763698979</v>
      </c>
      <c r="W23" s="8" t="n">
        <v>102.626367857143</v>
      </c>
      <c r="X23" s="9" t="n">
        <v>18.1153035714286</v>
      </c>
      <c r="Y23" s="9" t="n">
        <v>57.1552939421647</v>
      </c>
      <c r="Z23" s="8">
        <f>AVERAGE(BB23:BC23)</f>
        <v/>
      </c>
      <c r="AM23" s="10">
        <f>C$3*(C$1-C23)/C$2</f>
        <v/>
      </c>
      <c r="AN23" s="10">
        <f>D$3*(D$1-D23)/D$2</f>
        <v/>
      </c>
      <c r="AO23" s="10">
        <f>E$3*(E$1-E23)/E$2</f>
        <v/>
      </c>
      <c r="AP23" s="10">
        <f>F$3*(F$1-F23)/F$2</f>
        <v/>
      </c>
      <c r="AQ23" s="10">
        <f>G$3*(G$1-G23)/G$2</f>
        <v/>
      </c>
      <c r="AR23" s="10">
        <f>H$3*(H$1-H23)/H$2</f>
        <v/>
      </c>
      <c r="AS23" s="10">
        <f>I$3*(I$1-I23)/I$2</f>
        <v/>
      </c>
      <c r="AT23" s="10">
        <f>J$3*(J$1-J23)/J$2</f>
        <v/>
      </c>
      <c r="AU23" s="10">
        <f>K$3*(K$1-K23)/K$2</f>
        <v/>
      </c>
      <c r="AV23" s="10">
        <f>L$3*(L$1-L23)/L$2</f>
        <v/>
      </c>
      <c r="AW23" s="10">
        <f>M$3*(M$1-M23)/M$2</f>
        <v/>
      </c>
      <c r="AX23" s="10">
        <f>N$3*(N$1-N23)/N$2</f>
        <v/>
      </c>
      <c r="AY23" s="10">
        <f>((W23-$R$1)/$R$2)*$Y$4/$Y$3</f>
        <v/>
      </c>
      <c r="AZ23" s="10">
        <f>(O23-$V$1)/$V$2</f>
        <v/>
      </c>
      <c r="BB23" s="10">
        <f>R23+SUM(AM23:AZ23)+$Z$1+X23/$AC$1</f>
        <v/>
      </c>
      <c r="BC23" s="10">
        <f>Y23+SUM(AM23:AZ23)+$Z$1+X23/$AC$1-AO23-AP23-AV23</f>
        <v/>
      </c>
      <c r="BE23" s="6">
        <f>A23&amp;B23</f>
        <v/>
      </c>
    </row>
    <row r="24" hidden="1">
      <c r="A24" s="15" t="n">
        <v>46130</v>
      </c>
      <c r="B24" s="9" t="n">
        <v>3</v>
      </c>
      <c r="C24" s="9" t="n">
        <v>8.48</v>
      </c>
      <c r="D24" s="9" t="n">
        <v>42</v>
      </c>
      <c r="E24" s="9" t="n">
        <v>1980</v>
      </c>
      <c r="F24" s="9" t="n">
        <v>65.15000000000001</v>
      </c>
      <c r="G24" s="9" t="n">
        <v>2.7</v>
      </c>
      <c r="H24" s="9" t="n">
        <v>5.36</v>
      </c>
      <c r="I24" s="9" t="n">
        <v>3.5</v>
      </c>
      <c r="J24" s="9" t="n">
        <v>99</v>
      </c>
      <c r="K24" s="9" t="n">
        <v>510</v>
      </c>
      <c r="L24" s="9" t="n">
        <v>490</v>
      </c>
      <c r="M24" s="9" t="n">
        <v>43</v>
      </c>
      <c r="N24" s="9" t="n">
        <v>3</v>
      </c>
      <c r="O24" s="8" t="n">
        <v>5.49185708444667</v>
      </c>
      <c r="P24" s="9" t="n">
        <v>0.070964633274454</v>
      </c>
      <c r="Q24" s="9" t="n">
        <v>0.38972762399347</v>
      </c>
      <c r="R24" s="9" t="n">
        <v>56.9674624791089</v>
      </c>
      <c r="S24" s="9" t="n">
        <v>66.2482679487606</v>
      </c>
      <c r="T24" s="9" t="n">
        <v>29.8033743705556</v>
      </c>
      <c r="U24" s="9" t="n">
        <v>4800</v>
      </c>
      <c r="V24" s="9" t="n">
        <v>74.12200930432191</v>
      </c>
      <c r="W24" s="8" t="n">
        <v>123.004904761905</v>
      </c>
      <c r="X24" s="9" t="n">
        <v>17.9495238095238</v>
      </c>
      <c r="Y24" s="9" t="n">
        <v>56.9585505266846</v>
      </c>
      <c r="Z24" s="8">
        <f>AVERAGE(BB24:BC24)</f>
        <v/>
      </c>
      <c r="AM24" s="10">
        <f>C$3*(C$1-C24)/C$2</f>
        <v/>
      </c>
      <c r="AN24" s="10">
        <f>D$3*(D$1-D24)/D$2</f>
        <v/>
      </c>
      <c r="AO24" s="10">
        <f>E$3*(E$1-E24)/E$2</f>
        <v/>
      </c>
      <c r="AP24" s="10">
        <f>F$3*(F$1-F24)/F$2</f>
        <v/>
      </c>
      <c r="AQ24" s="10">
        <f>G$3*(G$1-G24)/G$2</f>
        <v/>
      </c>
      <c r="AR24" s="10">
        <f>H$3*(H$1-H24)/H$2</f>
        <v/>
      </c>
      <c r="AS24" s="10">
        <f>I$3*(I$1-I24)/I$2</f>
        <v/>
      </c>
      <c r="AT24" s="10">
        <f>J$3*(J$1-J24)/J$2</f>
        <v/>
      </c>
      <c r="AU24" s="10">
        <f>K$3*(K$1-K24)/K$2</f>
        <v/>
      </c>
      <c r="AV24" s="10">
        <f>L$3*(L$1-L24)/L$2</f>
        <v/>
      </c>
      <c r="AW24" s="10">
        <f>M$3*(M$1-M24)/M$2</f>
        <v/>
      </c>
      <c r="AX24" s="10">
        <f>N$3*(N$1-N24)/N$2</f>
        <v/>
      </c>
      <c r="AY24" s="10">
        <f>((W24-$R$1)/$R$2)*$Y$4/$Y$3</f>
        <v/>
      </c>
      <c r="AZ24" s="10">
        <f>(O24-$V$1)/$V$2</f>
        <v/>
      </c>
      <c r="BB24" s="10">
        <f>R24+SUM(AM24:AZ24)+$Z$1+X24/$AC$1</f>
        <v/>
      </c>
      <c r="BC24" s="10">
        <f>Y24+SUM(AM24:AZ24)+$Z$1+X24/$AC$1-AO24-AP24-AV24</f>
        <v/>
      </c>
      <c r="BE24" s="6">
        <f>A24&amp;B24</f>
        <v/>
      </c>
    </row>
    <row r="25" hidden="1">
      <c r="A25" s="15" t="n">
        <v>46131</v>
      </c>
      <c r="B25" s="9" t="n">
        <v>1</v>
      </c>
      <c r="C25" s="9" t="n">
        <v>8.48</v>
      </c>
      <c r="D25" s="9" t="n">
        <v>41</v>
      </c>
      <c r="E25" s="9" t="n">
        <v>2050</v>
      </c>
      <c r="F25" s="9" t="n">
        <v>65.15000000000001</v>
      </c>
      <c r="G25" s="9" t="n">
        <v>2.7</v>
      </c>
      <c r="H25" s="9" t="n">
        <v>5.36</v>
      </c>
      <c r="I25" s="9" t="n">
        <v>3.4</v>
      </c>
      <c r="J25" s="9" t="n">
        <v>90</v>
      </c>
      <c r="K25" s="9" t="n">
        <v>540</v>
      </c>
      <c r="L25" s="9" t="n">
        <v>500</v>
      </c>
      <c r="M25" s="9" t="n">
        <v>45</v>
      </c>
      <c r="N25" s="9" t="n">
        <v>3</v>
      </c>
      <c r="O25" s="8" t="n">
        <v>6.34348534932767</v>
      </c>
      <c r="P25" s="9" t="n">
        <v>0.061075302486986</v>
      </c>
      <c r="Q25" s="9" t="n">
        <v>0.387430286531951</v>
      </c>
      <c r="R25" s="9" t="n">
        <v>57.1004880631091</v>
      </c>
      <c r="S25" s="9" t="n">
        <v>68.7413276154353</v>
      </c>
      <c r="T25" s="9" t="n">
        <v>29.8742881560225</v>
      </c>
      <c r="U25" s="9" t="n">
        <v>4800</v>
      </c>
      <c r="V25" s="9" t="n">
        <v>83.1639812929708</v>
      </c>
      <c r="W25" s="8" t="n">
        <v>111.0104</v>
      </c>
      <c r="X25" s="9" t="n">
        <v>18.8594285714286</v>
      </c>
      <c r="Y25" s="9" t="n">
        <v>57.0830893503973</v>
      </c>
      <c r="Z25" s="8">
        <f>AVERAGE(BB25:BC25)</f>
        <v/>
      </c>
      <c r="AM25" s="10">
        <f>C$3*(C$1-C25)/C$2</f>
        <v/>
      </c>
      <c r="AN25" s="10">
        <f>D$3*(D$1-D25)/D$2</f>
        <v/>
      </c>
      <c r="AO25" s="10">
        <f>E$3*(E$1-E25)/E$2</f>
        <v/>
      </c>
      <c r="AP25" s="10">
        <f>F$3*(F$1-F25)/F$2</f>
        <v/>
      </c>
      <c r="AQ25" s="10">
        <f>G$3*(G$1-G25)/G$2</f>
        <v/>
      </c>
      <c r="AR25" s="10">
        <f>H$3*(H$1-H25)/H$2</f>
        <v/>
      </c>
      <c r="AS25" s="10">
        <f>I$3*(I$1-I25)/I$2</f>
        <v/>
      </c>
      <c r="AT25" s="10">
        <f>J$3*(J$1-J25)/J$2</f>
        <v/>
      </c>
      <c r="AU25" s="10">
        <f>K$3*(K$1-K25)/K$2</f>
        <v/>
      </c>
      <c r="AV25" s="10">
        <f>L$3*(L$1-L25)/L$2</f>
        <v/>
      </c>
      <c r="AW25" s="10">
        <f>M$3*(M$1-M25)/M$2</f>
        <v/>
      </c>
      <c r="AX25" s="10">
        <f>N$3*(N$1-N25)/N$2</f>
        <v/>
      </c>
      <c r="AY25" s="10">
        <f>((W25-$R$1)/$R$2)*$Y$4/$Y$3</f>
        <v/>
      </c>
      <c r="AZ25" s="10">
        <f>(O25-$V$1)/$V$2</f>
        <v/>
      </c>
      <c r="BB25" s="10">
        <f>R25+SUM(AM25:AZ25)+$Z$1+X25/$AC$1</f>
        <v/>
      </c>
      <c r="BC25" s="10">
        <f>Y25+SUM(AM25:AZ25)+$Z$1+X25/$AC$1-AO25-AP25-AV25</f>
        <v/>
      </c>
      <c r="BE25" s="6">
        <f>A25&amp;B25</f>
        <v/>
      </c>
    </row>
    <row r="26" hidden="1">
      <c r="A26" s="15" t="n">
        <v>46133</v>
      </c>
      <c r="B26" s="9" t="n">
        <v>1</v>
      </c>
      <c r="C26" s="9" t="n">
        <v>8.44</v>
      </c>
      <c r="D26" s="9" t="n">
        <v>41</v>
      </c>
      <c r="E26" s="9" t="n">
        <v>2090</v>
      </c>
      <c r="F26" s="9" t="n">
        <v>65.58</v>
      </c>
      <c r="G26" s="9" t="n">
        <v>2.63</v>
      </c>
      <c r="H26" s="9" t="n">
        <v>5.3</v>
      </c>
      <c r="I26" s="9" t="n">
        <v>3.4</v>
      </c>
      <c r="J26" s="9" t="n">
        <v>96</v>
      </c>
      <c r="K26" s="9" t="n">
        <v>530</v>
      </c>
      <c r="L26" s="9" t="n">
        <v>490</v>
      </c>
      <c r="M26" s="9" t="n">
        <v>45</v>
      </c>
      <c r="N26" s="9" t="n">
        <v>2.8</v>
      </c>
      <c r="O26" s="8" t="n">
        <v>5.9657123837699</v>
      </c>
      <c r="P26" s="9" t="n">
        <v>0.0624910647503978</v>
      </c>
      <c r="Q26" s="9" t="n">
        <v>0.372803718856415</v>
      </c>
      <c r="R26" s="9" t="n">
        <v>57.0755057674208</v>
      </c>
      <c r="S26" s="9" t="n">
        <v>66.3003697680264</v>
      </c>
      <c r="T26" s="9" t="n">
        <v>30.1720088014869</v>
      </c>
      <c r="U26" s="9" t="n">
        <v>4800</v>
      </c>
      <c r="V26" s="9" t="n">
        <v>83.12761090808399</v>
      </c>
      <c r="W26" s="8" t="n">
        <v>111.723234177215</v>
      </c>
      <c r="X26" s="9" t="n">
        <v>18.5534050632911</v>
      </c>
      <c r="Y26" s="9" t="n">
        <v>57.0434349054791</v>
      </c>
      <c r="Z26" s="8">
        <f>AVERAGE(BB26:BC26)</f>
        <v/>
      </c>
      <c r="AM26" s="10">
        <f>C$3*(C$1-C26)/C$2</f>
        <v/>
      </c>
      <c r="AN26" s="10">
        <f>D$3*(D$1-D26)/D$2</f>
        <v/>
      </c>
      <c r="AO26" s="10">
        <f>E$3*(E$1-E26)/E$2</f>
        <v/>
      </c>
      <c r="AP26" s="10">
        <f>F$3*(F$1-F26)/F$2</f>
        <v/>
      </c>
      <c r="AQ26" s="10">
        <f>G$3*(G$1-G26)/G$2</f>
        <v/>
      </c>
      <c r="AR26" s="10">
        <f>H$3*(H$1-H26)/H$2</f>
        <v/>
      </c>
      <c r="AS26" s="10">
        <f>I$3*(I$1-I26)/I$2</f>
        <v/>
      </c>
      <c r="AT26" s="10">
        <f>J$3*(J$1-J26)/J$2</f>
        <v/>
      </c>
      <c r="AU26" s="10">
        <f>K$3*(K$1-K26)/K$2</f>
        <v/>
      </c>
      <c r="AV26" s="10">
        <f>L$3*(L$1-L26)/L$2</f>
        <v/>
      </c>
      <c r="AW26" s="10">
        <f>M$3*(M$1-M26)/M$2</f>
        <v/>
      </c>
      <c r="AX26" s="10">
        <f>N$3*(N$1-N26)/N$2</f>
        <v/>
      </c>
      <c r="AY26" s="10">
        <f>((W26-$R$1)/$R$2)*$Y$4/$Y$3</f>
        <v/>
      </c>
      <c r="AZ26" s="10">
        <f>(O26-$V$1)/$V$2</f>
        <v/>
      </c>
      <c r="BB26" s="10">
        <f>R26+SUM(AM26:AZ26)+$Z$1+X26/$AC$1</f>
        <v/>
      </c>
      <c r="BC26" s="10">
        <f>Y26+SUM(AM26:AZ26)+$Z$1+X26/$AC$1-AO26-AP26-AV26</f>
        <v/>
      </c>
      <c r="BE26" s="6">
        <f>A26&amp;B26</f>
        <v/>
      </c>
    </row>
    <row r="27" hidden="1">
      <c r="A27" s="15" t="n">
        <v>46134</v>
      </c>
      <c r="B27" s="9" t="n">
        <v>1</v>
      </c>
      <c r="C27" s="9" t="n">
        <v>8.470000000000001</v>
      </c>
      <c r="D27" s="9" t="n">
        <v>40</v>
      </c>
      <c r="E27" s="9" t="n">
        <v>2110</v>
      </c>
      <c r="F27" s="9" t="n">
        <v>64.90000000000001</v>
      </c>
      <c r="G27" s="9" t="n">
        <v>2.68</v>
      </c>
      <c r="H27" s="9" t="n">
        <v>5.41</v>
      </c>
      <c r="I27" s="9" t="n">
        <v>3.4</v>
      </c>
      <c r="J27" s="9" t="n">
        <v>93</v>
      </c>
      <c r="K27" s="9" t="n">
        <v>540</v>
      </c>
      <c r="L27" s="9" t="n">
        <v>490</v>
      </c>
      <c r="M27" s="9" t="n">
        <v>38</v>
      </c>
      <c r="N27" s="9" t="n">
        <v>2.8</v>
      </c>
      <c r="O27" s="8" t="n">
        <v>5.73668858334563</v>
      </c>
      <c r="P27" s="9" t="n">
        <v>0.0639483849443151</v>
      </c>
      <c r="Q27" s="9" t="n">
        <v>0.366851969833444</v>
      </c>
      <c r="R27" s="9" t="n">
        <v>57.1186515825584</v>
      </c>
      <c r="S27" s="9" t="n">
        <v>72.0161969203119</v>
      </c>
      <c r="T27" s="9" t="n">
        <v>29.7173951416076</v>
      </c>
      <c r="U27" s="9" t="n">
        <v>4800</v>
      </c>
      <c r="V27" s="9" t="n">
        <v>81.6306878003968</v>
      </c>
      <c r="W27" s="8" t="n">
        <v>110.273971698113</v>
      </c>
      <c r="X27" s="9" t="n">
        <v>17.8680377358491</v>
      </c>
      <c r="Y27" s="9" t="n">
        <v>57.0969835103245</v>
      </c>
      <c r="Z27" s="8">
        <f>AVERAGE(BB27:BC27)</f>
        <v/>
      </c>
      <c r="AM27" s="10">
        <f>C$3*(C$1-C27)/C$2</f>
        <v/>
      </c>
      <c r="AN27" s="10">
        <f>D$3*(D$1-D27)/D$2</f>
        <v/>
      </c>
      <c r="AO27" s="10">
        <f>E$3*(E$1-E27)/E$2</f>
        <v/>
      </c>
      <c r="AP27" s="10">
        <f>F$3*(F$1-F27)/F$2</f>
        <v/>
      </c>
      <c r="AQ27" s="10">
        <f>G$3*(G$1-G27)/G$2</f>
        <v/>
      </c>
      <c r="AR27" s="10">
        <f>H$3*(H$1-H27)/H$2</f>
        <v/>
      </c>
      <c r="AS27" s="10">
        <f>I$3*(I$1-I27)/I$2</f>
        <v/>
      </c>
      <c r="AT27" s="10">
        <f>J$3*(J$1-J27)/J$2</f>
        <v/>
      </c>
      <c r="AU27" s="10">
        <f>K$3*(K$1-K27)/K$2</f>
        <v/>
      </c>
      <c r="AV27" s="10">
        <f>L$3*(L$1-L27)/L$2</f>
        <v/>
      </c>
      <c r="AW27" s="10">
        <f>M$3*(M$1-M27)/M$2</f>
        <v/>
      </c>
      <c r="AX27" s="10">
        <f>N$3*(N$1-N27)/N$2</f>
        <v/>
      </c>
      <c r="AY27" s="10">
        <f>((W27-$R$1)/$R$2)*$Y$4/$Y$3</f>
        <v/>
      </c>
      <c r="AZ27" s="10">
        <f>(O27-$V$1)/$V$2</f>
        <v/>
      </c>
      <c r="BB27" s="10">
        <f>R27+SUM(AM27:AZ27)+$Z$1+X27/$AC$1</f>
        <v/>
      </c>
      <c r="BC27" s="10">
        <f>Y27+SUM(AM27:AZ27)+$Z$1+X27/$AC$1-AO27-AP27-AV27</f>
        <v/>
      </c>
      <c r="BE27" s="6">
        <f>A27&amp;B27</f>
        <v/>
      </c>
    </row>
    <row r="28" hidden="1">
      <c r="A28" s="15" t="n">
        <v>46134</v>
      </c>
      <c r="B28" s="9" t="n">
        <v>1</v>
      </c>
      <c r="C28" s="9" t="n">
        <v>8.470000000000001</v>
      </c>
      <c r="D28" s="9" t="n">
        <v>41</v>
      </c>
      <c r="E28" s="9" t="n">
        <v>2040</v>
      </c>
      <c r="F28" s="9" t="n">
        <v>64.90000000000001</v>
      </c>
      <c r="G28" s="9" t="n">
        <v>2.68</v>
      </c>
      <c r="H28" s="9" t="n">
        <v>5.41</v>
      </c>
      <c r="I28" s="9" t="n">
        <v>3.4</v>
      </c>
      <c r="J28" s="9" t="n">
        <v>99</v>
      </c>
      <c r="K28" s="9" t="n">
        <v>560</v>
      </c>
      <c r="L28" s="9" t="n">
        <v>500</v>
      </c>
      <c r="M28" s="9" t="n">
        <v>41</v>
      </c>
      <c r="N28" s="9" t="n">
        <v>2.8</v>
      </c>
      <c r="O28" s="8" t="n">
        <v>5.74762248473557</v>
      </c>
      <c r="P28" s="9" t="n">
        <v>0.0728198855973977</v>
      </c>
      <c r="Q28" s="9" t="n">
        <v>0.418541211795475</v>
      </c>
      <c r="R28" s="9" t="n">
        <v>57.0423569052167</v>
      </c>
      <c r="S28" s="9" t="n">
        <v>69.2841233049262</v>
      </c>
      <c r="T28" s="9" t="n">
        <v>28.9989797218751</v>
      </c>
      <c r="U28" s="9" t="n">
        <v>4800</v>
      </c>
      <c r="V28" s="9" t="n">
        <v>78.424718341358</v>
      </c>
      <c r="W28" s="8" t="n">
        <v>129.688375</v>
      </c>
      <c r="X28" s="9" t="n">
        <v>18.4475192307692</v>
      </c>
      <c r="Y28" s="9" t="n">
        <v>57.0312496426445</v>
      </c>
      <c r="Z28" s="8">
        <f>AVERAGE(BB28:BC28)</f>
        <v/>
      </c>
      <c r="AM28" s="10">
        <f>C$3*(C$1-C28)/C$2</f>
        <v/>
      </c>
      <c r="AN28" s="10">
        <f>D$3*(D$1-D28)/D$2</f>
        <v/>
      </c>
      <c r="AO28" s="10">
        <f>E$3*(E$1-E28)/E$2</f>
        <v/>
      </c>
      <c r="AP28" s="10">
        <f>F$3*(F$1-F28)/F$2</f>
        <v/>
      </c>
      <c r="AQ28" s="10">
        <f>G$3*(G$1-G28)/G$2</f>
        <v/>
      </c>
      <c r="AR28" s="10">
        <f>H$3*(H$1-H28)/H$2</f>
        <v/>
      </c>
      <c r="AS28" s="10">
        <f>I$3*(I$1-I28)/I$2</f>
        <v/>
      </c>
      <c r="AT28" s="10">
        <f>J$3*(J$1-J28)/J$2</f>
        <v/>
      </c>
      <c r="AU28" s="10">
        <f>K$3*(K$1-K28)/K$2</f>
        <v/>
      </c>
      <c r="AV28" s="10">
        <f>L$3*(L$1-L28)/L$2</f>
        <v/>
      </c>
      <c r="AW28" s="10">
        <f>M$3*(M$1-M28)/M$2</f>
        <v/>
      </c>
      <c r="AX28" s="10">
        <f>N$3*(N$1-N28)/N$2</f>
        <v/>
      </c>
      <c r="AY28" s="10">
        <f>((W28-$R$1)/$R$2)*$Y$4/$Y$3</f>
        <v/>
      </c>
      <c r="AZ28" s="10">
        <f>(O28-$V$1)/$V$2</f>
        <v/>
      </c>
      <c r="BB28" s="10">
        <f>R28+SUM(AM28:AZ28)+$Z$1+X28/$AC$1</f>
        <v/>
      </c>
      <c r="BC28" s="10">
        <f>Y28+SUM(AM28:AZ28)+$Z$1+X28/$AC$1-AO28-AP28-AV28</f>
        <v/>
      </c>
      <c r="BE28" s="6">
        <f>A28&amp;B28</f>
        <v/>
      </c>
    </row>
    <row r="29" hidden="1">
      <c r="A29" s="15" t="n">
        <v>46135</v>
      </c>
      <c r="B29" s="9" t="n">
        <v>1</v>
      </c>
      <c r="C29" s="9" t="n">
        <v>8.43</v>
      </c>
      <c r="D29" s="9" t="n">
        <v>45</v>
      </c>
      <c r="E29" s="9" t="n">
        <v>1940</v>
      </c>
      <c r="F29" s="9" t="n">
        <v>66.17</v>
      </c>
      <c r="G29" s="9" t="n">
        <v>2.56</v>
      </c>
      <c r="H29" s="9" t="n">
        <v>5.38</v>
      </c>
      <c r="I29" s="9" t="n">
        <v>3.5</v>
      </c>
      <c r="J29" s="9" t="n">
        <v>102</v>
      </c>
      <c r="K29" s="9" t="n">
        <v>520</v>
      </c>
      <c r="L29" s="9" t="n">
        <v>490</v>
      </c>
      <c r="M29" s="9" t="n">
        <v>42</v>
      </c>
      <c r="N29" s="9" t="n">
        <v>2.7</v>
      </c>
      <c r="O29" s="8" t="n">
        <v>5.74762248473557</v>
      </c>
      <c r="P29" s="9" t="n">
        <v>0.0728198855973977</v>
      </c>
      <c r="Q29" s="9" t="n">
        <v>0.418541211795475</v>
      </c>
      <c r="R29" s="9" t="n">
        <v>56.9965345764995</v>
      </c>
      <c r="S29" s="9" t="n">
        <v>63.1591768193296</v>
      </c>
      <c r="T29" s="9" t="n">
        <v>30.1302603103382</v>
      </c>
      <c r="U29" s="9" t="n">
        <v>4800</v>
      </c>
      <c r="V29" s="9" t="n">
        <v>79.4203339956814</v>
      </c>
      <c r="W29" s="8" t="n">
        <v>129.688375</v>
      </c>
      <c r="X29" s="9" t="n">
        <v>18.4475192307692</v>
      </c>
      <c r="Y29" s="9" t="n">
        <v>56.9411715821868</v>
      </c>
      <c r="Z29" s="8">
        <f>AVERAGE(BB29:BC29)</f>
        <v/>
      </c>
      <c r="AM29" s="10">
        <f>C$3*(C$1-C29)/C$2</f>
        <v/>
      </c>
      <c r="AN29" s="10">
        <f>D$3*(D$1-D29)/D$2</f>
        <v/>
      </c>
      <c r="AO29" s="10">
        <f>E$3*(E$1-E29)/E$2</f>
        <v/>
      </c>
      <c r="AP29" s="10">
        <f>F$3*(F$1-F29)/F$2</f>
        <v/>
      </c>
      <c r="AQ29" s="10">
        <f>G$3*(G$1-G29)/G$2</f>
        <v/>
      </c>
      <c r="AR29" s="10">
        <f>H$3*(H$1-H29)/H$2</f>
        <v/>
      </c>
      <c r="AS29" s="10">
        <f>I$3*(I$1-I29)/I$2</f>
        <v/>
      </c>
      <c r="AT29" s="10">
        <f>J$3*(J$1-J29)/J$2</f>
        <v/>
      </c>
      <c r="AU29" s="10">
        <f>K$3*(K$1-K29)/K$2</f>
        <v/>
      </c>
      <c r="AV29" s="10">
        <f>L$3*(L$1-L29)/L$2</f>
        <v/>
      </c>
      <c r="AW29" s="10">
        <f>M$3*(M$1-M29)/M$2</f>
        <v/>
      </c>
      <c r="AX29" s="10">
        <f>N$3*(N$1-N29)/N$2</f>
        <v/>
      </c>
      <c r="AY29" s="10">
        <f>((W29-$R$1)/$R$2)*$Y$4/$Y$3</f>
        <v/>
      </c>
      <c r="AZ29" s="10">
        <f>(O29-$V$1)/$V$2</f>
        <v/>
      </c>
      <c r="BB29" s="10">
        <f>R29+SUM(AM29:AZ29)+$Z$1+X29/$AC$1</f>
        <v/>
      </c>
      <c r="BC29" s="10">
        <f>Y29+SUM(AM29:AZ29)+$Z$1+X29/$AC$1-AO29-AP29-AV29</f>
        <v/>
      </c>
      <c r="BE29" s="6">
        <f>A29&amp;B29</f>
        <v/>
      </c>
    </row>
    <row r="30" hidden="1">
      <c r="A30" s="15" t="n">
        <v>46135</v>
      </c>
      <c r="B30" s="9" t="n">
        <v>3</v>
      </c>
      <c r="C30" s="9" t="n">
        <v>8.44</v>
      </c>
      <c r="D30" s="9" t="n">
        <v>41</v>
      </c>
      <c r="E30" s="9" t="n">
        <v>2040</v>
      </c>
      <c r="F30" s="9" t="n">
        <v>64.83</v>
      </c>
      <c r="G30" s="9" t="n">
        <v>2.5</v>
      </c>
      <c r="H30" s="9" t="n">
        <v>5.42</v>
      </c>
      <c r="I30" s="9" t="n">
        <v>3.4</v>
      </c>
      <c r="J30" s="9" t="n">
        <v>96</v>
      </c>
      <c r="K30" s="9" t="n">
        <v>530</v>
      </c>
      <c r="L30" s="9" t="n">
        <v>500</v>
      </c>
      <c r="M30" s="9" t="n">
        <v>41</v>
      </c>
      <c r="N30" s="9" t="n">
        <v>3.1</v>
      </c>
      <c r="O30" s="8" t="n">
        <v>5.42980779752486</v>
      </c>
      <c r="P30" s="9" t="n">
        <v>0.0652151285450725</v>
      </c>
      <c r="Q30" s="9" t="n">
        <v>0.354105613490621</v>
      </c>
      <c r="R30" s="9" t="n">
        <v>57.1025607572155</v>
      </c>
      <c r="S30" s="9" t="n">
        <v>71.8636473754045</v>
      </c>
      <c r="T30" s="9" t="n">
        <v>26.929734238919</v>
      </c>
      <c r="U30" s="9" t="n">
        <v>4800</v>
      </c>
      <c r="V30" s="9" t="n">
        <v>83.16700679671629</v>
      </c>
      <c r="W30" s="8" t="n">
        <v>112.545199115044</v>
      </c>
      <c r="X30" s="9" t="n">
        <v>17.4051150442478</v>
      </c>
      <c r="Y30" s="9" t="n">
        <v>57.1066229223321</v>
      </c>
      <c r="Z30" s="8">
        <f>AVERAGE(BB30:BC30)</f>
        <v/>
      </c>
      <c r="AM30" s="10">
        <f>C$3*(C$1-C30)/C$2</f>
        <v/>
      </c>
      <c r="AN30" s="10">
        <f>D$3*(D$1-D30)/D$2</f>
        <v/>
      </c>
      <c r="AO30" s="10">
        <f>E$3*(E$1-E30)/E$2</f>
        <v/>
      </c>
      <c r="AP30" s="10">
        <f>F$3*(F$1-F30)/F$2</f>
        <v/>
      </c>
      <c r="AQ30" s="10">
        <f>G$3*(G$1-G30)/G$2</f>
        <v/>
      </c>
      <c r="AR30" s="10">
        <f>H$3*(H$1-H30)/H$2</f>
        <v/>
      </c>
      <c r="AS30" s="10">
        <f>I$3*(I$1-I30)/I$2</f>
        <v/>
      </c>
      <c r="AT30" s="10">
        <f>J$3*(J$1-J30)/J$2</f>
        <v/>
      </c>
      <c r="AU30" s="10">
        <f>K$3*(K$1-K30)/K$2</f>
        <v/>
      </c>
      <c r="AV30" s="10">
        <f>L$3*(L$1-L30)/L$2</f>
        <v/>
      </c>
      <c r="AW30" s="10">
        <f>M$3*(M$1-M30)/M$2</f>
        <v/>
      </c>
      <c r="AX30" s="10">
        <f>N$3*(N$1-N30)/N$2</f>
        <v/>
      </c>
      <c r="AY30" s="10">
        <f>((W30-$R$1)/$R$2)*$Y$4/$Y$3</f>
        <v/>
      </c>
      <c r="AZ30" s="10">
        <f>(O30-$V$1)/$V$2</f>
        <v/>
      </c>
      <c r="BB30" s="10">
        <f>R30+SUM(AM30:AZ30)+$Z$1+X30/$AC$1</f>
        <v/>
      </c>
      <c r="BC30" s="10">
        <f>Y30+SUM(AM30:AZ30)+$Z$1+X30/$AC$1-AO30-AP30-AV30</f>
        <v/>
      </c>
      <c r="BE30" s="6">
        <f>A30&amp;B30</f>
        <v/>
      </c>
    </row>
    <row r="31" hidden="1">
      <c r="A31" s="15" t="n">
        <v>46136</v>
      </c>
      <c r="B31" s="9" t="n">
        <v>1</v>
      </c>
      <c r="C31" s="9" t="n">
        <v>8.44</v>
      </c>
      <c r="D31" s="9" t="n">
        <v>41</v>
      </c>
      <c r="E31" s="9" t="n">
        <v>2090</v>
      </c>
      <c r="F31" s="9" t="n">
        <v>64.83</v>
      </c>
      <c r="G31" s="9" t="n">
        <v>2.5</v>
      </c>
      <c r="H31" s="9" t="n">
        <v>5.42</v>
      </c>
      <c r="I31" s="9" t="n">
        <v>3.3</v>
      </c>
      <c r="J31" s="9" t="n">
        <v>93</v>
      </c>
      <c r="K31" s="9" t="n">
        <v>540</v>
      </c>
      <c r="L31" s="9" t="n">
        <v>500</v>
      </c>
      <c r="M31" s="9" t="n">
        <v>37</v>
      </c>
      <c r="N31" s="9" t="n">
        <v>3.1</v>
      </c>
      <c r="O31" s="8" t="n">
        <v>5.93710015958289</v>
      </c>
      <c r="P31" s="9" t="n">
        <v>0.06555506531718169</v>
      </c>
      <c r="Q31" s="9" t="n">
        <v>0.389206988756106</v>
      </c>
      <c r="R31" s="9" t="n">
        <v>57.1288202359751</v>
      </c>
      <c r="S31" s="9" t="n">
        <v>73.78432342872409</v>
      </c>
      <c r="T31" s="9" t="n">
        <v>27.2618706983289</v>
      </c>
      <c r="U31" s="9" t="n">
        <v>4800</v>
      </c>
      <c r="V31" s="9" t="n">
        <v>83.2052673207488</v>
      </c>
      <c r="W31" s="8" t="n">
        <v>118.331898148148</v>
      </c>
      <c r="X31" s="9" t="n">
        <v>18.0910740740741</v>
      </c>
      <c r="Y31" s="9" t="n">
        <v>57.1163143980666</v>
      </c>
      <c r="Z31" s="8">
        <f>AVERAGE(BB31:BC31)</f>
        <v/>
      </c>
      <c r="AM31" s="10">
        <f>C$3*(C$1-C31)/C$2</f>
        <v/>
      </c>
      <c r="AN31" s="10">
        <f>D$3*(D$1-D31)/D$2</f>
        <v/>
      </c>
      <c r="AO31" s="10">
        <f>E$3*(E$1-E31)/E$2</f>
        <v/>
      </c>
      <c r="AP31" s="10">
        <f>F$3*(F$1-F31)/F$2</f>
        <v/>
      </c>
      <c r="AQ31" s="10">
        <f>G$3*(G$1-G31)/G$2</f>
        <v/>
      </c>
      <c r="AR31" s="10">
        <f>H$3*(H$1-H31)/H$2</f>
        <v/>
      </c>
      <c r="AS31" s="10">
        <f>I$3*(I$1-I31)/I$2</f>
        <v/>
      </c>
      <c r="AT31" s="10">
        <f>J$3*(J$1-J31)/J$2</f>
        <v/>
      </c>
      <c r="AU31" s="10">
        <f>K$3*(K$1-K31)/K$2</f>
        <v/>
      </c>
      <c r="AV31" s="10">
        <f>L$3*(L$1-L31)/L$2</f>
        <v/>
      </c>
      <c r="AW31" s="10">
        <f>M$3*(M$1-M31)/M$2</f>
        <v/>
      </c>
      <c r="AX31" s="10">
        <f>N$3*(N$1-N31)/N$2</f>
        <v/>
      </c>
      <c r="AY31" s="10">
        <f>((W31-$R$1)/$R$2)*$Y$4/$Y$3</f>
        <v/>
      </c>
      <c r="AZ31" s="10">
        <f>(O31-$V$1)/$V$2</f>
        <v/>
      </c>
      <c r="BB31" s="10">
        <f>R31+SUM(AM31:AZ31)+$Z$1+X31/$AC$1</f>
        <v/>
      </c>
      <c r="BC31" s="10">
        <f>Y31+SUM(AM31:AZ31)+$Z$1+X31/$AC$1-AO31-AP31-AV31</f>
        <v/>
      </c>
      <c r="BE31" s="6">
        <f>A31&amp;B31</f>
        <v/>
      </c>
    </row>
    <row r="32" hidden="1">
      <c r="A32" s="15" t="n">
        <v>46136</v>
      </c>
      <c r="B32" s="9" t="n">
        <v>1</v>
      </c>
      <c r="C32" s="9" t="n">
        <v>8.44</v>
      </c>
      <c r="D32" s="9" t="n">
        <v>39</v>
      </c>
      <c r="E32" s="9" t="n">
        <v>2140</v>
      </c>
      <c r="F32" s="9" t="n">
        <v>64.83</v>
      </c>
      <c r="G32" s="9" t="n">
        <v>2.5</v>
      </c>
      <c r="H32" s="9" t="n">
        <v>5.42</v>
      </c>
      <c r="I32" s="9" t="n">
        <v>3.3</v>
      </c>
      <c r="J32" s="9" t="n">
        <v>90</v>
      </c>
      <c r="K32" s="9" t="n">
        <v>560</v>
      </c>
      <c r="L32" s="9" t="n">
        <v>510</v>
      </c>
      <c r="M32" s="9" t="n">
        <v>42</v>
      </c>
      <c r="N32" s="9" t="n">
        <v>3.1</v>
      </c>
      <c r="O32" s="8" t="n">
        <v>6.70339064889752</v>
      </c>
      <c r="P32" s="9" t="n">
        <v>0.0585504414677451</v>
      </c>
      <c r="Q32" s="9" t="n">
        <v>0.392486481823704</v>
      </c>
      <c r="R32" s="9" t="n">
        <v>57.1362733137484</v>
      </c>
      <c r="S32" s="9" t="n">
        <v>73.7939509539909</v>
      </c>
      <c r="T32" s="9" t="n">
        <v>27.8916343388559</v>
      </c>
      <c r="U32" s="9" t="n">
        <v>4800</v>
      </c>
      <c r="V32" s="9" t="n">
        <v>83.216122226007</v>
      </c>
      <c r="W32" s="8" t="n">
        <v>107.504009803922</v>
      </c>
      <c r="X32" s="9" t="n">
        <v>18.655862745098</v>
      </c>
      <c r="Y32" s="9" t="n">
        <v>57.1206599467987</v>
      </c>
      <c r="Z32" s="8">
        <f>AVERAGE(BB32:BC32)</f>
        <v/>
      </c>
      <c r="AM32" s="10">
        <f>C$3*(C$1-C32)/C$2</f>
        <v/>
      </c>
      <c r="AN32" s="10">
        <f>D$3*(D$1-D32)/D$2</f>
        <v/>
      </c>
      <c r="AO32" s="10">
        <f>E$3*(E$1-E32)/E$2</f>
        <v/>
      </c>
      <c r="AP32" s="10">
        <f>F$3*(F$1-F32)/F$2</f>
        <v/>
      </c>
      <c r="AQ32" s="10">
        <f>G$3*(G$1-G32)/G$2</f>
        <v/>
      </c>
      <c r="AR32" s="10">
        <f>H$3*(H$1-H32)/H$2</f>
        <v/>
      </c>
      <c r="AS32" s="10">
        <f>I$3*(I$1-I32)/I$2</f>
        <v/>
      </c>
      <c r="AT32" s="10">
        <f>J$3*(J$1-J32)/J$2</f>
        <v/>
      </c>
      <c r="AU32" s="10">
        <f>K$3*(K$1-K32)/K$2</f>
        <v/>
      </c>
      <c r="AV32" s="10">
        <f>L$3*(L$1-L32)/L$2</f>
        <v/>
      </c>
      <c r="AW32" s="10">
        <f>M$3*(M$1-M32)/M$2</f>
        <v/>
      </c>
      <c r="AX32" s="10">
        <f>N$3*(N$1-N32)/N$2</f>
        <v/>
      </c>
      <c r="AY32" s="10">
        <f>((W32-$R$1)/$R$2)*$Y$4/$Y$3</f>
        <v/>
      </c>
      <c r="AZ32" s="10">
        <f>(O32-$V$1)/$V$2</f>
        <v/>
      </c>
      <c r="BB32" s="10">
        <f>R32+SUM(AM32:AZ32)+$Z$1+X32/$AC$1</f>
        <v/>
      </c>
      <c r="BC32" s="10">
        <f>Y32+SUM(AM32:AZ32)+$Z$1+X32/$AC$1-AO32-AP32-AV32</f>
        <v/>
      </c>
      <c r="BE32" s="6">
        <f>A32&amp;B32</f>
        <v/>
      </c>
    </row>
    <row r="33" hidden="1">
      <c r="A33" s="15" t="n">
        <v>46136</v>
      </c>
      <c r="B33" s="9" t="n">
        <v>3</v>
      </c>
      <c r="C33" s="9" t="n">
        <v>8.390000000000001</v>
      </c>
      <c r="D33" s="9" t="n">
        <v>40</v>
      </c>
      <c r="E33" s="9" t="n">
        <v>2130</v>
      </c>
      <c r="F33" s="9" t="n">
        <v>64.33</v>
      </c>
      <c r="G33" s="9" t="n">
        <v>2.59</v>
      </c>
      <c r="H33" s="9" t="n">
        <v>5.37</v>
      </c>
      <c r="I33" s="9" t="n">
        <v>3.4</v>
      </c>
      <c r="J33" s="9" t="n">
        <v>93</v>
      </c>
      <c r="K33" s="9" t="n">
        <v>530</v>
      </c>
      <c r="L33" s="9" t="n">
        <v>500</v>
      </c>
      <c r="M33" s="9" t="n">
        <v>43</v>
      </c>
      <c r="N33" s="9" t="n">
        <v>2.9</v>
      </c>
      <c r="O33" s="8" t="n">
        <v>6.70339064889752</v>
      </c>
      <c r="P33" s="9" t="n">
        <v>0.0585504414677451</v>
      </c>
      <c r="Q33" s="9" t="n">
        <v>0.392486481823704</v>
      </c>
      <c r="R33" s="9" t="n">
        <v>57.1004518237615</v>
      </c>
      <c r="S33" s="9" t="n">
        <v>73.74768468593651</v>
      </c>
      <c r="T33" s="9" t="n">
        <v>28.2206017221673</v>
      </c>
      <c r="U33" s="9" t="n">
        <v>4800</v>
      </c>
      <c r="V33" s="9" t="n">
        <v>79.80807768139201</v>
      </c>
      <c r="W33" s="8" t="n">
        <v>107.504009803922</v>
      </c>
      <c r="X33" s="9" t="n">
        <v>18.655862745098</v>
      </c>
      <c r="Y33" s="9" t="n">
        <v>57.094944708422</v>
      </c>
      <c r="Z33" s="8">
        <f>AVERAGE(BB33:BC33)</f>
        <v/>
      </c>
      <c r="AM33" s="10">
        <f>C$3*(C$1-C33)/C$2</f>
        <v/>
      </c>
      <c r="AN33" s="10">
        <f>D$3*(D$1-D33)/D$2</f>
        <v/>
      </c>
      <c r="AO33" s="10">
        <f>E$3*(E$1-E33)/E$2</f>
        <v/>
      </c>
      <c r="AP33" s="10">
        <f>F$3*(F$1-F33)/F$2</f>
        <v/>
      </c>
      <c r="AQ33" s="10">
        <f>G$3*(G$1-G33)/G$2</f>
        <v/>
      </c>
      <c r="AR33" s="10">
        <f>H$3*(H$1-H33)/H$2</f>
        <v/>
      </c>
      <c r="AS33" s="10">
        <f>I$3*(I$1-I33)/I$2</f>
        <v/>
      </c>
      <c r="AT33" s="10">
        <f>J$3*(J$1-J33)/J$2</f>
        <v/>
      </c>
      <c r="AU33" s="10">
        <f>K$3*(K$1-K33)/K$2</f>
        <v/>
      </c>
      <c r="AV33" s="10">
        <f>L$3*(L$1-L33)/L$2</f>
        <v/>
      </c>
      <c r="AW33" s="10">
        <f>M$3*(M$1-M33)/M$2</f>
        <v/>
      </c>
      <c r="AX33" s="10">
        <f>N$3*(N$1-N33)/N$2</f>
        <v/>
      </c>
      <c r="AY33" s="10">
        <f>((W33-$R$1)/$R$2)*$Y$4/$Y$3</f>
        <v/>
      </c>
      <c r="AZ33" s="10">
        <f>(O33-$V$1)/$V$2</f>
        <v/>
      </c>
      <c r="BB33" s="10">
        <f>R33+SUM(AM33:AZ33)+$Z$1+X33/$AC$1</f>
        <v/>
      </c>
      <c r="BC33" s="10">
        <f>Y33+SUM(AM33:AZ33)+$Z$1+X33/$AC$1-AO33-AP33-AV33</f>
        <v/>
      </c>
      <c r="BE33" s="6">
        <f>A33&amp;B33</f>
        <v/>
      </c>
    </row>
    <row r="34" hidden="1">
      <c r="A34" s="15" t="n">
        <v>46137</v>
      </c>
      <c r="B34" s="9" t="n">
        <v>1</v>
      </c>
      <c r="C34" s="9" t="n">
        <v>8.390000000000001</v>
      </c>
      <c r="D34" s="9" t="n">
        <v>40</v>
      </c>
      <c r="E34" s="9" t="n">
        <v>2120</v>
      </c>
      <c r="F34" s="9" t="n">
        <v>64.33</v>
      </c>
      <c r="G34" s="9" t="n">
        <v>2.59</v>
      </c>
      <c r="H34" s="9" t="n">
        <v>5.37</v>
      </c>
      <c r="I34" s="9" t="n">
        <v>3.4</v>
      </c>
      <c r="J34" s="9" t="n">
        <v>93</v>
      </c>
      <c r="K34" s="9" t="n">
        <v>550</v>
      </c>
      <c r="L34" s="9" t="n">
        <v>490</v>
      </c>
      <c r="M34" s="9" t="n">
        <v>42</v>
      </c>
      <c r="N34" s="9" t="n">
        <v>2.9</v>
      </c>
      <c r="O34" s="8" t="n">
        <v>6.27946030029222</v>
      </c>
      <c r="P34" s="9" t="n">
        <v>0.0630892909254414</v>
      </c>
      <c r="Q34" s="9" t="n">
        <v>0.396166697739896</v>
      </c>
      <c r="R34" s="9" t="n">
        <v>57.111213537689</v>
      </c>
      <c r="S34" s="9" t="n">
        <v>73.76157693939069</v>
      </c>
      <c r="T34" s="9" t="n">
        <v>27.5533969672844</v>
      </c>
      <c r="U34" s="9" t="n">
        <v>4800</v>
      </c>
      <c r="V34" s="9" t="n">
        <v>81.39994752888261</v>
      </c>
      <c r="W34" s="8" t="n">
        <v>117.122958333333</v>
      </c>
      <c r="X34" s="9" t="n">
        <v>19.3133333333333</v>
      </c>
      <c r="Y34" s="9" t="n">
        <v>57.1109202908093</v>
      </c>
      <c r="Z34" s="8">
        <f>AVERAGE(BB34:BC34)</f>
        <v/>
      </c>
      <c r="AM34" s="10">
        <f>C$3*(C$1-C34)/C$2</f>
        <v/>
      </c>
      <c r="AN34" s="10">
        <f>D$3*(D$1-D34)/D$2</f>
        <v/>
      </c>
      <c r="AO34" s="10">
        <f>E$3*(E$1-E34)/E$2</f>
        <v/>
      </c>
      <c r="AP34" s="10">
        <f>F$3*(F$1-F34)/F$2</f>
        <v/>
      </c>
      <c r="AQ34" s="10">
        <f>G$3*(G$1-G34)/G$2</f>
        <v/>
      </c>
      <c r="AR34" s="10">
        <f>H$3*(H$1-H34)/H$2</f>
        <v/>
      </c>
      <c r="AS34" s="10">
        <f>I$3*(I$1-I34)/I$2</f>
        <v/>
      </c>
      <c r="AT34" s="10">
        <f>J$3*(J$1-J34)/J$2</f>
        <v/>
      </c>
      <c r="AU34" s="10">
        <f>K$3*(K$1-K34)/K$2</f>
        <v/>
      </c>
      <c r="AV34" s="10">
        <f>L$3*(L$1-L34)/L$2</f>
        <v/>
      </c>
      <c r="AW34" s="10">
        <f>M$3*(M$1-M34)/M$2</f>
        <v/>
      </c>
      <c r="AX34" s="10">
        <f>N$3*(N$1-N34)/N$2</f>
        <v/>
      </c>
      <c r="AY34" s="10">
        <f>((W34-$R$1)/$R$2)*$Y$4/$Y$3</f>
        <v/>
      </c>
      <c r="AZ34" s="10">
        <f>(O34-$V$1)/$V$2</f>
        <v/>
      </c>
      <c r="BB34" s="10">
        <f>R34+SUM(AM34:AZ34)+$Z$1+X34/$AC$1</f>
        <v/>
      </c>
      <c r="BC34" s="10">
        <f>Y34+SUM(AM34:AZ34)+$Z$1+X34/$AC$1-AO34-AP34-AV34</f>
        <v/>
      </c>
      <c r="BE34" s="6">
        <f>A34&amp;B34</f>
        <v/>
      </c>
    </row>
    <row r="35" hidden="1">
      <c r="A35" s="15" t="n">
        <v>46137</v>
      </c>
      <c r="B35" s="9" t="n">
        <v>2</v>
      </c>
      <c r="C35" s="9" t="n">
        <v>8.43</v>
      </c>
      <c r="D35" s="9" t="n">
        <v>41</v>
      </c>
      <c r="E35" s="9" t="n">
        <v>2090</v>
      </c>
      <c r="F35" s="9" t="n">
        <v>65.20999999999999</v>
      </c>
      <c r="G35" s="9" t="n">
        <v>2.52</v>
      </c>
      <c r="H35" s="9" t="n">
        <v>5.38</v>
      </c>
      <c r="I35" s="9" t="n">
        <v>3.4</v>
      </c>
      <c r="J35" s="9" t="n">
        <v>96</v>
      </c>
      <c r="K35" s="9" t="n">
        <v>540</v>
      </c>
      <c r="L35" s="9" t="n">
        <v>490</v>
      </c>
      <c r="M35" s="9" t="n">
        <v>44</v>
      </c>
      <c r="N35" s="9" t="n">
        <v>2.8</v>
      </c>
      <c r="O35" s="8" t="n">
        <v>5.67772057252724</v>
      </c>
      <c r="P35" s="9" t="n">
        <v>0.0660250513182033</v>
      </c>
      <c r="Q35" s="9" t="n">
        <v>0.374871792171529</v>
      </c>
      <c r="R35" s="9" t="n">
        <v>57.1117338408601</v>
      </c>
      <c r="S35" s="9" t="n">
        <v>70.3890168244817</v>
      </c>
      <c r="T35" s="9" t="n">
        <v>29.1913514959198</v>
      </c>
      <c r="U35" s="9" t="n">
        <v>4800</v>
      </c>
      <c r="V35" s="9" t="n">
        <v>83.1803762859026</v>
      </c>
      <c r="W35" s="8" t="n">
        <v>117.536806603774</v>
      </c>
      <c r="X35" s="9" t="n">
        <v>18.862179245283</v>
      </c>
      <c r="Y35" s="9" t="n">
        <v>57.087919132298</v>
      </c>
      <c r="Z35" s="8">
        <f>AVERAGE(BB35:BC35)</f>
        <v/>
      </c>
      <c r="AM35" s="10">
        <f>C$3*(C$1-C35)/C$2</f>
        <v/>
      </c>
      <c r="AN35" s="10">
        <f>D$3*(D$1-D35)/D$2</f>
        <v/>
      </c>
      <c r="AO35" s="10">
        <f>E$3*(E$1-E35)/E$2</f>
        <v/>
      </c>
      <c r="AP35" s="10">
        <f>F$3*(F$1-F35)/F$2</f>
        <v/>
      </c>
      <c r="AQ35" s="10">
        <f>G$3*(G$1-G35)/G$2</f>
        <v/>
      </c>
      <c r="AR35" s="10">
        <f>H$3*(H$1-H35)/H$2</f>
        <v/>
      </c>
      <c r="AS35" s="10">
        <f>I$3*(I$1-I35)/I$2</f>
        <v/>
      </c>
      <c r="AT35" s="10">
        <f>J$3*(J$1-J35)/J$2</f>
        <v/>
      </c>
      <c r="AU35" s="10">
        <f>K$3*(K$1-K35)/K$2</f>
        <v/>
      </c>
      <c r="AV35" s="10">
        <f>L$3*(L$1-L35)/L$2</f>
        <v/>
      </c>
      <c r="AW35" s="10">
        <f>M$3*(M$1-M35)/M$2</f>
        <v/>
      </c>
      <c r="AX35" s="10">
        <f>N$3*(N$1-N35)/N$2</f>
        <v/>
      </c>
      <c r="AY35" s="10">
        <f>((W35-$R$1)/$R$2)*$Y$4/$Y$3</f>
        <v/>
      </c>
      <c r="AZ35" s="10">
        <f>(O35-$V$1)/$V$2</f>
        <v/>
      </c>
      <c r="BB35" s="10">
        <f>R35+SUM(AM35:AZ35)+$Z$1+X35/$AC$1</f>
        <v/>
      </c>
      <c r="BC35" s="10">
        <f>Y35+SUM(AM35:AZ35)+$Z$1+X35/$AC$1-AO35-AP35-AV35</f>
        <v/>
      </c>
      <c r="BE35" s="6">
        <f>A35&amp;B35</f>
        <v/>
      </c>
    </row>
    <row r="36" hidden="1">
      <c r="A36" s="15" t="n">
        <v>46140</v>
      </c>
      <c r="B36" s="9" t="n">
        <v>2</v>
      </c>
      <c r="C36" s="9" t="n">
        <v>8.43</v>
      </c>
      <c r="D36" s="9" t="n">
        <v>42</v>
      </c>
      <c r="E36" s="9" t="n">
        <v>2110</v>
      </c>
      <c r="F36" s="9" t="n">
        <v>65.20999999999999</v>
      </c>
      <c r="G36" s="9" t="n">
        <v>2.52</v>
      </c>
      <c r="H36" s="9" t="n">
        <v>5.38</v>
      </c>
      <c r="I36" s="9" t="n">
        <v>3.5</v>
      </c>
      <c r="J36" s="9" t="n">
        <v>96</v>
      </c>
      <c r="K36" s="9" t="n">
        <v>530</v>
      </c>
      <c r="L36" s="9" t="n">
        <v>500</v>
      </c>
      <c r="M36" s="9" t="n">
        <v>44</v>
      </c>
      <c r="N36" s="9" t="n">
        <v>2.8</v>
      </c>
      <c r="O36" s="8" t="n">
        <v>5.63341527968114</v>
      </c>
      <c r="P36" s="9" t="n">
        <v>0.06522147104625819</v>
      </c>
      <c r="Q36" s="9" t="n">
        <v>0.367419631555272</v>
      </c>
      <c r="R36" s="9" t="n">
        <v>57.0856595615541</v>
      </c>
      <c r="S36" s="9" t="n">
        <v>69.5615026078334</v>
      </c>
      <c r="T36" s="9" t="n">
        <v>29.4720036651269</v>
      </c>
      <c r="U36" s="9" t="n">
        <v>4800</v>
      </c>
      <c r="V36" s="9" t="n">
        <v>81.45235187355929</v>
      </c>
      <c r="W36" s="8" t="n">
        <v>117.073366666667</v>
      </c>
      <c r="X36" s="9" t="n">
        <v>19.3683333333333</v>
      </c>
      <c r="Y36" s="9" t="n">
        <v>57.0514902803382</v>
      </c>
      <c r="Z36" s="8">
        <f>AVERAGE(BB36:BC36)</f>
        <v/>
      </c>
      <c r="AM36" s="10">
        <f>C$3*(C$1-C36)/C$2</f>
        <v/>
      </c>
      <c r="AN36" s="10">
        <f>D$3*(D$1-D36)/D$2</f>
        <v/>
      </c>
      <c r="AO36" s="10">
        <f>E$3*(E$1-E36)/E$2</f>
        <v/>
      </c>
      <c r="AP36" s="10">
        <f>F$3*(F$1-F36)/F$2</f>
        <v/>
      </c>
      <c r="AQ36" s="10">
        <f>G$3*(G$1-G36)/G$2</f>
        <v/>
      </c>
      <c r="AR36" s="10">
        <f>H$3*(H$1-H36)/H$2</f>
        <v/>
      </c>
      <c r="AS36" s="10">
        <f>I$3*(I$1-I36)/I$2</f>
        <v/>
      </c>
      <c r="AT36" s="10">
        <f>J$3*(J$1-J36)/J$2</f>
        <v/>
      </c>
      <c r="AU36" s="10">
        <f>K$3*(K$1-K36)/K$2</f>
        <v/>
      </c>
      <c r="AV36" s="10">
        <f>L$3*(L$1-L36)/L$2</f>
        <v/>
      </c>
      <c r="AW36" s="10">
        <f>M$3*(M$1-M36)/M$2</f>
        <v/>
      </c>
      <c r="AX36" s="10">
        <f>N$3*(N$1-N36)/N$2</f>
        <v/>
      </c>
      <c r="AY36" s="10">
        <f>((W36-$R$1)/$R$2)*$Y$4/$Y$3</f>
        <v/>
      </c>
      <c r="AZ36" s="10">
        <f>(O36-$V$1)/$V$2</f>
        <v/>
      </c>
      <c r="BB36" s="10">
        <f>R36+SUM(AM36:AZ36)+$Z$1+X36/$AC$1</f>
        <v/>
      </c>
      <c r="BC36" s="10">
        <f>Y36+SUM(AM36:AZ36)+$Z$1+X36/$AC$1-AO36-AP36-AV36</f>
        <v/>
      </c>
      <c r="BE36" s="6">
        <f>A36&amp;B36</f>
        <v/>
      </c>
    </row>
    <row r="37" hidden="1">
      <c r="A37" s="15" t="n">
        <v>46140</v>
      </c>
      <c r="B37" s="9" t="n">
        <v>3</v>
      </c>
      <c r="C37" s="9" t="n">
        <v>8.369999999999999</v>
      </c>
      <c r="D37" s="9" t="n">
        <v>42</v>
      </c>
      <c r="E37" s="9" t="n">
        <v>2020</v>
      </c>
      <c r="F37" s="9" t="n">
        <v>65.20999999999999</v>
      </c>
      <c r="G37" s="9" t="n">
        <v>2.52</v>
      </c>
      <c r="H37" s="9" t="n">
        <v>5.38</v>
      </c>
      <c r="I37" s="9" t="n">
        <v>3.5</v>
      </c>
      <c r="J37" s="9" t="n">
        <v>99</v>
      </c>
      <c r="K37" s="9" t="n">
        <v>520</v>
      </c>
      <c r="L37" s="9" t="n">
        <v>490</v>
      </c>
      <c r="M37" s="9" t="n">
        <v>43</v>
      </c>
      <c r="N37" s="9" t="n">
        <v>2.8</v>
      </c>
      <c r="O37" s="8" t="n">
        <v>5.78613723623927</v>
      </c>
      <c r="P37" s="9" t="n">
        <v>0.0600114324803025</v>
      </c>
      <c r="Q37" s="9" t="n">
        <v>0.347234384074337</v>
      </c>
      <c r="R37" s="9" t="n">
        <v>57.0463152629968</v>
      </c>
      <c r="S37" s="9" t="n">
        <v>70.35852961603359</v>
      </c>
      <c r="T37" s="9" t="n">
        <v>28.9574619498086</v>
      </c>
      <c r="U37" s="9" t="n">
        <v>4800</v>
      </c>
      <c r="V37" s="9" t="n">
        <v>77.7365746879547</v>
      </c>
      <c r="W37" s="8" t="n">
        <v>107.621825</v>
      </c>
      <c r="X37" s="9" t="n">
        <v>19.344</v>
      </c>
      <c r="Y37" s="9" t="n">
        <v>57.0243472476721</v>
      </c>
      <c r="Z37" s="8">
        <f>AVERAGE(BB37:BC37)</f>
        <v/>
      </c>
      <c r="AM37" s="10">
        <f>C$3*(C$1-C37)/C$2</f>
        <v/>
      </c>
      <c r="AN37" s="10">
        <f>D$3*(D$1-D37)/D$2</f>
        <v/>
      </c>
      <c r="AO37" s="10">
        <f>E$3*(E$1-E37)/E$2</f>
        <v/>
      </c>
      <c r="AP37" s="10">
        <f>F$3*(F$1-F37)/F$2</f>
        <v/>
      </c>
      <c r="AQ37" s="10">
        <f>G$3*(G$1-G37)/G$2</f>
        <v/>
      </c>
      <c r="AR37" s="10">
        <f>H$3*(H$1-H37)/H$2</f>
        <v/>
      </c>
      <c r="AS37" s="10">
        <f>I$3*(I$1-I37)/I$2</f>
        <v/>
      </c>
      <c r="AT37" s="10">
        <f>J$3*(J$1-J37)/J$2</f>
        <v/>
      </c>
      <c r="AU37" s="10">
        <f>K$3*(K$1-K37)/K$2</f>
        <v/>
      </c>
      <c r="AV37" s="10">
        <f>L$3*(L$1-L37)/L$2</f>
        <v/>
      </c>
      <c r="AW37" s="10">
        <f>M$3*(M$1-M37)/M$2</f>
        <v/>
      </c>
      <c r="AX37" s="10">
        <f>N$3*(N$1-N37)/N$2</f>
        <v/>
      </c>
      <c r="AY37" s="10">
        <f>((W37-$R$1)/$R$2)*$Y$4/$Y$3</f>
        <v/>
      </c>
      <c r="AZ37" s="10">
        <f>(O37-$V$1)/$V$2</f>
        <v/>
      </c>
      <c r="BB37" s="10">
        <f>R37+SUM(AM37:AZ37)+$Z$1+X37/$AC$1</f>
        <v/>
      </c>
      <c r="BC37" s="10">
        <f>Y37+SUM(AM37:AZ37)+$Z$1+X37/$AC$1-AO37-AP37-AV37</f>
        <v/>
      </c>
      <c r="BE37" s="6">
        <f>A37&amp;B37</f>
        <v/>
      </c>
    </row>
    <row r="38" hidden="1">
      <c r="A38" s="15" t="n">
        <v>46141</v>
      </c>
      <c r="B38" s="9" t="n">
        <v>1</v>
      </c>
      <c r="C38" s="9" t="n">
        <v>8.369999999999999</v>
      </c>
      <c r="D38" s="9" t="n">
        <v>42</v>
      </c>
      <c r="E38" s="9" t="n">
        <v>2130</v>
      </c>
      <c r="F38" s="9" t="n">
        <v>65.20999999999999</v>
      </c>
      <c r="G38" s="9" t="n">
        <v>2.52</v>
      </c>
      <c r="H38" s="9" t="n">
        <v>5.38</v>
      </c>
      <c r="I38" s="9" t="n">
        <v>3.4</v>
      </c>
      <c r="J38" s="9" t="n">
        <v>90</v>
      </c>
      <c r="K38" s="9" t="n">
        <v>550</v>
      </c>
      <c r="L38" s="9" t="n">
        <v>490</v>
      </c>
      <c r="M38" s="9" t="n">
        <v>44</v>
      </c>
      <c r="N38" s="9" t="n">
        <v>2.8</v>
      </c>
      <c r="O38" s="8" t="n">
        <v>5.96533775029929</v>
      </c>
      <c r="P38" s="9" t="n">
        <v>0.0613609296975602</v>
      </c>
      <c r="Q38" s="9" t="n">
        <v>0.366038670318317</v>
      </c>
      <c r="R38" s="9" t="n">
        <v>57.1435182915728</v>
      </c>
      <c r="S38" s="9" t="n">
        <v>72.9921882658882</v>
      </c>
      <c r="T38" s="9" t="n">
        <v>29.3149089956378</v>
      </c>
      <c r="U38" s="9" t="n">
        <v>4800</v>
      </c>
      <c r="V38" s="9" t="n">
        <v>83.2266662824579</v>
      </c>
      <c r="W38" s="8" t="n">
        <v>111.5997</v>
      </c>
      <c r="X38" s="9" t="n">
        <v>19.475</v>
      </c>
      <c r="Y38" s="9" t="n">
        <v>57.1307870549921</v>
      </c>
      <c r="Z38" s="8">
        <f>AVERAGE(BB38:BC38)</f>
        <v/>
      </c>
      <c r="AM38" s="10">
        <f>C$3*(C$1-C38)/C$2</f>
        <v/>
      </c>
      <c r="AN38" s="10">
        <f>D$3*(D$1-D38)/D$2</f>
        <v/>
      </c>
      <c r="AO38" s="10">
        <f>E$3*(E$1-E38)/E$2</f>
        <v/>
      </c>
      <c r="AP38" s="10">
        <f>F$3*(F$1-F38)/F$2</f>
        <v/>
      </c>
      <c r="AQ38" s="10">
        <f>G$3*(G$1-G38)/G$2</f>
        <v/>
      </c>
      <c r="AR38" s="10">
        <f>H$3*(H$1-H38)/H$2</f>
        <v/>
      </c>
      <c r="AS38" s="10">
        <f>I$3*(I$1-I38)/I$2</f>
        <v/>
      </c>
      <c r="AT38" s="10">
        <f>J$3*(J$1-J38)/J$2</f>
        <v/>
      </c>
      <c r="AU38" s="10">
        <f>K$3*(K$1-K38)/K$2</f>
        <v/>
      </c>
      <c r="AV38" s="10">
        <f>L$3*(L$1-L38)/L$2</f>
        <v/>
      </c>
      <c r="AW38" s="10">
        <f>M$3*(M$1-M38)/M$2</f>
        <v/>
      </c>
      <c r="AX38" s="10">
        <f>N$3*(N$1-N38)/N$2</f>
        <v/>
      </c>
      <c r="AY38" s="10">
        <f>((W38-$R$1)/$R$2)*$Y$4/$Y$3</f>
        <v/>
      </c>
      <c r="AZ38" s="10">
        <f>(O38-$V$1)/$V$2</f>
        <v/>
      </c>
      <c r="BB38" s="10">
        <f>R38+SUM(AM38:AZ38)+$Z$1+X38/$AC$1</f>
        <v/>
      </c>
      <c r="BC38" s="10">
        <f>Y38+SUM(AM38:AZ38)+$Z$1+X38/$AC$1-AO38-AP38-AV38</f>
        <v/>
      </c>
      <c r="BE38" s="6">
        <f>A38&amp;B38</f>
        <v/>
      </c>
    </row>
    <row r="39" hidden="1">
      <c r="A39" s="15" t="n">
        <v>46141</v>
      </c>
      <c r="B39" s="9" t="n">
        <v>3</v>
      </c>
      <c r="C39" s="16" t="n">
        <v>8.42</v>
      </c>
      <c r="D39" s="16" t="n">
        <v>41.13</v>
      </c>
      <c r="E39" s="16" t="n">
        <v>2092.61</v>
      </c>
      <c r="F39" s="16" t="n">
        <v>65.42</v>
      </c>
      <c r="G39" s="16" t="n">
        <v>2.56</v>
      </c>
      <c r="H39" s="16" t="n">
        <v>5.41</v>
      </c>
      <c r="I39" s="16" t="n">
        <v>3.41</v>
      </c>
      <c r="J39" s="16" t="n">
        <v>94.95999999999999</v>
      </c>
      <c r="K39" s="16" t="n">
        <v>531.74</v>
      </c>
      <c r="L39" s="16" t="n">
        <v>491.43</v>
      </c>
      <c r="M39" s="16" t="n">
        <v>44.78</v>
      </c>
      <c r="N39" s="16" t="n">
        <v>3.02</v>
      </c>
      <c r="O39" s="17" t="n">
        <v>6.07370158724637</v>
      </c>
      <c r="P39" s="16" t="n">
        <v>0.0601331070594821</v>
      </c>
      <c r="Q39" s="16" t="n">
        <v>0.365230547793232</v>
      </c>
      <c r="R39" s="16" t="n">
        <v>57.0818266326379</v>
      </c>
      <c r="S39" s="16" t="n">
        <v>68.0650060695757</v>
      </c>
      <c r="T39" s="16" t="n">
        <v>28.9496214522095</v>
      </c>
      <c r="U39" s="16" t="n">
        <v>4800</v>
      </c>
      <c r="V39" s="16" t="n">
        <v>83.1368207055438</v>
      </c>
      <c r="W39" s="17" t="n">
        <v>108.374919354839</v>
      </c>
      <c r="X39" s="16" t="n">
        <v>0</v>
      </c>
      <c r="Y39" s="16" t="n">
        <v>57.0774750546835</v>
      </c>
      <c r="Z39" s="8">
        <f>AVERAGE(BB39:BC39)</f>
        <v/>
      </c>
      <c r="AM39" s="10">
        <f>C$3*(C$1-C39)/C$2</f>
        <v/>
      </c>
      <c r="AN39" s="10">
        <f>D$3*(D$1-D39)/D$2</f>
        <v/>
      </c>
      <c r="AO39" s="10">
        <f>E$3*(E$1-E39)/E$2</f>
        <v/>
      </c>
      <c r="AP39" s="10">
        <f>F$3*(F$1-F39)/F$2</f>
        <v/>
      </c>
      <c r="AQ39" s="10">
        <f>G$3*(G$1-G39)/G$2</f>
        <v/>
      </c>
      <c r="AR39" s="10">
        <f>H$3*(H$1-H39)/H$2</f>
        <v/>
      </c>
      <c r="AS39" s="10">
        <f>I$3*(I$1-I39)/I$2</f>
        <v/>
      </c>
      <c r="AT39" s="10">
        <f>J$3*(J$1-J39)/J$2</f>
        <v/>
      </c>
      <c r="AU39" s="10">
        <f>K$3*(K$1-K39)/K$2</f>
        <v/>
      </c>
      <c r="AV39" s="10">
        <f>L$3*(L$1-L39)/L$2</f>
        <v/>
      </c>
      <c r="AW39" s="10">
        <f>M$3*(M$1-M39)/M$2</f>
        <v/>
      </c>
      <c r="AX39" s="10">
        <f>N$3*(N$1-N39)/N$2</f>
        <v/>
      </c>
      <c r="AY39" s="10">
        <f>((W39-$R$1)/$R$2)*$Y$4/$Y$3</f>
        <v/>
      </c>
      <c r="AZ39" s="10">
        <f>(O39-$V$1)/$V$2</f>
        <v/>
      </c>
      <c r="BB39" s="10">
        <f>R39+SUM(AM39:AZ39)+$Z$1+X39/$AC$1</f>
        <v/>
      </c>
      <c r="BC39" s="10">
        <f>Y39+SUM(AM39:AZ39)+$Z$1+X39/$AC$1-AO39-AP39-AV39</f>
        <v/>
      </c>
      <c r="BE39" s="6">
        <f>A39&amp;B39</f>
        <v/>
      </c>
    </row>
    <row r="40" hidden="1">
      <c r="A40" s="18" t="n">
        <v>46142</v>
      </c>
      <c r="B40" s="19" t="n">
        <v>1</v>
      </c>
      <c r="C40" s="20" t="n">
        <v>8.41</v>
      </c>
      <c r="D40" s="20" t="n">
        <v>42.14</v>
      </c>
      <c r="E40" s="20" t="n">
        <v>2050</v>
      </c>
      <c r="F40" s="20" t="n">
        <v>65.23999999999999</v>
      </c>
      <c r="G40" s="20" t="n">
        <v>2.6</v>
      </c>
      <c r="H40" s="20" t="n">
        <v>5.43</v>
      </c>
      <c r="I40" s="20" t="n">
        <v>3.46</v>
      </c>
      <c r="J40" s="20" t="n">
        <v>93.86</v>
      </c>
      <c r="K40" s="20" t="n">
        <v>534.29</v>
      </c>
      <c r="L40" s="20" t="n">
        <v>485</v>
      </c>
      <c r="M40" s="20" t="n">
        <v>45.86</v>
      </c>
      <c r="N40" s="20" t="n">
        <v>3</v>
      </c>
      <c r="O40" s="21" t="n">
        <v>6.06161760211877</v>
      </c>
      <c r="P40" s="20" t="n">
        <v>0.0646975392769578</v>
      </c>
      <c r="Q40" s="20" t="n">
        <v>0.392171742894978</v>
      </c>
      <c r="R40" s="20" t="n">
        <v>57.0654539217236</v>
      </c>
      <c r="S40" s="20" t="n">
        <v>68.0638876965088</v>
      </c>
      <c r="T40" s="20" t="n">
        <v>28.5052706469535</v>
      </c>
      <c r="U40" s="20" t="n">
        <v>4800</v>
      </c>
      <c r="V40" s="20" t="n">
        <v>82.1535513818872</v>
      </c>
      <c r="W40" s="21" t="n">
        <v>38.4995</v>
      </c>
      <c r="X40" s="20" t="n">
        <v>0</v>
      </c>
      <c r="Y40" s="20" t="n">
        <v>57.0466354052459</v>
      </c>
      <c r="Z40" s="22">
        <f>AVERAGE(BB40:BC40)</f>
        <v/>
      </c>
      <c r="AM40" s="23">
        <f>C$3*(C$1-C40)/C$2</f>
        <v/>
      </c>
      <c r="AN40" s="23">
        <f>D$3*(D$1-D40)/D$2</f>
        <v/>
      </c>
      <c r="AO40" s="23">
        <f>E$3*(E$1-E40)/E$2</f>
        <v/>
      </c>
      <c r="AP40" s="23">
        <f>F$3*(F$1-F40)/F$2</f>
        <v/>
      </c>
      <c r="AQ40" s="23">
        <f>G$3*(G$1-G40)/G$2</f>
        <v/>
      </c>
      <c r="AR40" s="23">
        <f>H$3*(H$1-H40)/H$2</f>
        <v/>
      </c>
      <c r="AS40" s="23">
        <f>I$3*(I$1-I40)/I$2</f>
        <v/>
      </c>
      <c r="AT40" s="23">
        <f>J$3*(J$1-J40)/J$2</f>
        <v/>
      </c>
      <c r="AU40" s="23">
        <f>K$3*(K$1-K40)/K$2</f>
        <v/>
      </c>
      <c r="AV40" s="23">
        <f>L$3*(L$1-L40)/L$2</f>
        <v/>
      </c>
      <c r="AW40" s="23">
        <f>M$3*(M$1-M40)/M$2</f>
        <v/>
      </c>
      <c r="AX40" s="23">
        <f>N$3*(N$1-N40)/N$2</f>
        <v/>
      </c>
      <c r="AY40" s="23">
        <f>((W40-$R$1)/$R$2)*$Y$4/$Y$3</f>
        <v/>
      </c>
      <c r="AZ40" s="23">
        <f>(O40-$V$1)/$V$2</f>
        <v/>
      </c>
      <c r="BB40" s="23">
        <f>R40+SUM(AM40:AZ40)+$Z$1+X40/$AC$1</f>
        <v/>
      </c>
      <c r="BC40" s="23">
        <f>Y40+SUM(AM40:AZ40)+$Z$1+X40/$AC$1-AO40-AP40-AV40</f>
        <v/>
      </c>
      <c r="BE40" s="24">
        <f>A40&amp;B40</f>
        <v/>
      </c>
    </row>
    <row r="41" customFormat="1" s="27">
      <c r="A41" s="28" t="n">
        <v>46142</v>
      </c>
      <c r="B41" s="16" t="n">
        <v>2</v>
      </c>
      <c r="C41" s="25" t="n">
        <v>8.58</v>
      </c>
      <c r="D41" s="25" t="n">
        <v>40.23</v>
      </c>
      <c r="E41" s="25" t="n">
        <v>2120.45</v>
      </c>
      <c r="F41" s="25" t="n">
        <v>65.13</v>
      </c>
      <c r="G41" s="25" t="n">
        <v>3.19</v>
      </c>
      <c r="H41" s="25" t="n">
        <v>5.6</v>
      </c>
      <c r="I41" s="25" t="n">
        <v>3.36</v>
      </c>
      <c r="J41" s="25" t="n">
        <v>90.73</v>
      </c>
      <c r="K41" s="25" t="n">
        <v>549.09</v>
      </c>
      <c r="L41" s="25" t="n">
        <v>501.43</v>
      </c>
      <c r="M41" s="25" t="n">
        <v>43.14</v>
      </c>
      <c r="N41" s="25" t="n">
        <v>2.9</v>
      </c>
      <c r="O41" s="25" t="n">
        <v>6.759870510090086</v>
      </c>
      <c r="P41" s="25" t="n">
        <v>0.05711840053580542</v>
      </c>
      <c r="Q41" s="25" t="n">
        <v>0.3861129913655048</v>
      </c>
      <c r="R41" s="25" t="n">
        <v>59.0825734921842</v>
      </c>
      <c r="S41" s="25" t="n">
        <v>63.21852133799989</v>
      </c>
      <c r="T41" s="25" t="n">
        <v>30.15856590276045</v>
      </c>
      <c r="U41" s="25" t="n">
        <v>4800</v>
      </c>
      <c r="V41" s="25" t="n">
        <v>81.97174843237354</v>
      </c>
      <c r="W41" s="25" t="n">
        <v>100.2310714285714</v>
      </c>
      <c r="X41" s="25" t="n">
        <v>0</v>
      </c>
      <c r="Y41" s="25" t="n">
        <v>58.80776031226312</v>
      </c>
      <c r="Z41" s="29">
        <f>AVERAGE(BB41:BC41)</f>
        <v/>
      </c>
      <c r="AM41" s="27">
        <f>C$3*(C$1-C41)/C$2</f>
        <v/>
      </c>
      <c r="AN41" s="27">
        <f>D$3*(D$1-D41)/D$2</f>
        <v/>
      </c>
      <c r="AO41" s="27">
        <f>E$3*(E$1-E41)/E$2</f>
        <v/>
      </c>
      <c r="AP41" s="27">
        <f>F$3*(F$1-F41)/F$2</f>
        <v/>
      </c>
      <c r="AQ41" s="27">
        <f>G$3*(G$1-G41)/G$2</f>
        <v/>
      </c>
      <c r="AR41" s="27">
        <f>H$3*(H$1-H41)/H$2</f>
        <v/>
      </c>
      <c r="AS41" s="27">
        <f>I$3*(I$1-I41)/I$2</f>
        <v/>
      </c>
      <c r="AT41" s="27">
        <f>J$3*(J$1-J41)/J$2</f>
        <v/>
      </c>
      <c r="AU41" s="27">
        <f>K$3*(K$1-K41)/K$2</f>
        <v/>
      </c>
      <c r="AV41" s="27">
        <f>L$3*(L$1-L41)/L$2</f>
        <v/>
      </c>
      <c r="AW41" s="27">
        <f>M$3*(M$1-M41)/M$2</f>
        <v/>
      </c>
      <c r="AX41" s="27">
        <f>N$3*(N$1-N41)/N$2</f>
        <v/>
      </c>
      <c r="AY41" s="27">
        <f>(((W41*$Y$4/$Y$3)-$R$1)/$R$2)</f>
        <v/>
      </c>
      <c r="AZ41" s="27">
        <f>(O41-$V$1)/$V$2</f>
        <v/>
      </c>
      <c r="BB41" s="27">
        <f>R41+SUM(AM41:AZ41)+$Z$1+X41/$AC$1</f>
        <v/>
      </c>
      <c r="BC41" s="27">
        <f>Y41+SUM(AM41:AZ41)+$Z$1+X41/$AC$1-AO41-AP41-AV41</f>
        <v/>
      </c>
      <c r="BE41" s="27">
        <f>A41&amp;B41</f>
        <v/>
      </c>
    </row>
    <row r="42">
      <c r="AM42" s="26" t="n"/>
    </row>
    <row r="43"/>
    <row r="44"/>
    <row r="45">
      <c r="C45" s="25">
        <f>C41</f>
        <v/>
      </c>
      <c r="D45" s="25">
        <f>D41</f>
        <v/>
      </c>
      <c r="E45" s="25">
        <f>E41</f>
        <v/>
      </c>
      <c r="F45" s="25">
        <f>F41</f>
        <v/>
      </c>
      <c r="G45" s="25">
        <f>G41</f>
        <v/>
      </c>
      <c r="H45" s="25">
        <f>H41</f>
        <v/>
      </c>
      <c r="I45" s="25">
        <f>I41</f>
        <v/>
      </c>
      <c r="J45" s="25">
        <f>J41</f>
        <v/>
      </c>
      <c r="K45" s="25">
        <f>K41</f>
        <v/>
      </c>
      <c r="L45" s="25">
        <f>L41</f>
        <v/>
      </c>
      <c r="M45" s="25">
        <f>M41</f>
        <v/>
      </c>
      <c r="N45" s="25">
        <f>N41</f>
        <v/>
      </c>
      <c r="U45">
        <f>((44-52)*8.4)/70</f>
        <v/>
      </c>
      <c r="W45">
        <f>((45-52)*8.4)/70</f>
        <v/>
      </c>
      <c r="Y45">
        <f>((53-52)*8.4)/70</f>
        <v/>
      </c>
    </row>
    <row r="46">
      <c r="X46" t="inlineStr">
        <is>
          <t xml:space="preserve"> </t>
        </is>
      </c>
    </row>
    <row r="47">
      <c r="Q47">
        <f>((48-52)*8.4)/70</f>
        <v/>
      </c>
    </row>
    <row r="48"/>
    <row r="49">
      <c r="Y49">
        <f>((51-52)*8.4)/70</f>
        <v/>
      </c>
    </row>
    <row r="50"/>
    <row r="51"/>
    <row r="52"/>
    <row r="53"/>
    <row r="54">
      <c r="A54" s="12" t="inlineStr">
        <is>
          <t>activeClay</t>
        </is>
      </c>
      <c r="B54" s="25">
        <f>C41</f>
        <v/>
      </c>
      <c r="C54" s="9" t="n">
        <v>40.73</v>
      </c>
      <c r="D54" s="9" t="n">
        <v>2119.09</v>
      </c>
      <c r="E54" s="9" t="n">
        <v>66.19</v>
      </c>
      <c r="F54" s="9" t="n">
        <v>2.62</v>
      </c>
      <c r="G54" s="9" t="n">
        <v>5.45</v>
      </c>
      <c r="H54" s="9" t="n">
        <v>3.38</v>
      </c>
      <c r="I54" s="9" t="n">
        <v>94.09</v>
      </c>
      <c r="J54" s="9" t="n">
        <v>541.36</v>
      </c>
      <c r="K54" s="9" t="n">
        <v>498.33</v>
      </c>
      <c r="L54" s="9" t="n">
        <v>43.32</v>
      </c>
      <c r="M54" s="9" t="n">
        <v>2.8</v>
      </c>
      <c r="N54" s="9" t="n">
        <v>8.31</v>
      </c>
      <c r="O54" s="9" t="n">
        <v>8.449999999999999</v>
      </c>
      <c r="P54" s="9" t="n">
        <v>8.48</v>
      </c>
      <c r="Q54" s="9" t="n">
        <v>8.48</v>
      </c>
      <c r="R54" s="9" t="n">
        <v>8.52</v>
      </c>
      <c r="S54" s="9" t="n">
        <v>8.48</v>
      </c>
      <c r="T54" s="9" t="n">
        <v>8.48</v>
      </c>
      <c r="U54" s="9" t="n">
        <v>8.44</v>
      </c>
      <c r="V54" s="9" t="n">
        <v>8.470000000000001</v>
      </c>
      <c r="W54" s="9" t="n">
        <v>8.470000000000001</v>
      </c>
      <c r="X54" s="9" t="n">
        <v>8.43</v>
      </c>
      <c r="Y54" s="9" t="n">
        <v>8.44</v>
      </c>
      <c r="Z54" s="9" t="n">
        <v>8.44</v>
      </c>
      <c r="AA54" s="9" t="n">
        <v>8.44</v>
      </c>
      <c r="AB54" s="9" t="n">
        <v>8.390000000000001</v>
      </c>
      <c r="AC54" s="9" t="n">
        <v>8.390000000000001</v>
      </c>
      <c r="AD54" s="9" t="n">
        <v>8.43</v>
      </c>
      <c r="AE54" s="9" t="n">
        <v>8.43</v>
      </c>
      <c r="AF54" s="9" t="n">
        <v>8.369999999999999</v>
      </c>
      <c r="AG54" s="9" t="n">
        <v>8.369999999999999</v>
      </c>
      <c r="AH54" s="16" t="n">
        <v>8.42</v>
      </c>
      <c r="AI54" s="20" t="n">
        <v>8.41</v>
      </c>
      <c r="AJ54" s="16" t="n">
        <v>8.539999999999999</v>
      </c>
    </row>
    <row r="55">
      <c r="A55" s="12" t="inlineStr">
        <is>
          <t>compactibility</t>
        </is>
      </c>
      <c r="B55" s="25">
        <f>D41</f>
        <v/>
      </c>
      <c r="C55" s="9" t="n">
        <v>39</v>
      </c>
      <c r="D55" s="9" t="n">
        <v>41</v>
      </c>
      <c r="E55" s="9" t="n">
        <v>40</v>
      </c>
      <c r="F55" s="9" t="n">
        <v>40</v>
      </c>
      <c r="G55" s="9" t="n">
        <v>40</v>
      </c>
      <c r="H55" s="9" t="n">
        <v>41</v>
      </c>
      <c r="I55" s="9" t="n">
        <v>41</v>
      </c>
      <c r="J55" s="9" t="n">
        <v>39</v>
      </c>
      <c r="K55" s="9" t="n">
        <v>40</v>
      </c>
      <c r="L55" s="9" t="n">
        <v>40</v>
      </c>
      <c r="M55" s="9" t="n">
        <v>42</v>
      </c>
      <c r="N55" s="9" t="n">
        <v>41</v>
      </c>
      <c r="O55" s="9" t="n">
        <v>38</v>
      </c>
      <c r="P55" s="9" t="n">
        <v>39</v>
      </c>
      <c r="Q55" s="9" t="n">
        <v>39</v>
      </c>
      <c r="R55" s="9" t="n">
        <v>38</v>
      </c>
      <c r="S55" s="9" t="n">
        <v>42</v>
      </c>
      <c r="T55" s="9" t="n">
        <v>41</v>
      </c>
      <c r="U55" s="9" t="n">
        <v>41</v>
      </c>
      <c r="V55" s="9" t="n">
        <v>40</v>
      </c>
      <c r="W55" s="9" t="n">
        <v>41</v>
      </c>
      <c r="X55" s="9" t="n">
        <v>45</v>
      </c>
      <c r="Y55" s="9" t="n">
        <v>41</v>
      </c>
      <c r="Z55" s="9" t="n">
        <v>41</v>
      </c>
      <c r="AA55" s="9" t="n">
        <v>39</v>
      </c>
      <c r="AB55" s="9" t="n">
        <v>40</v>
      </c>
      <c r="AC55" s="9" t="n">
        <v>40</v>
      </c>
      <c r="AD55" s="9" t="n">
        <v>41</v>
      </c>
      <c r="AE55" s="9" t="n">
        <v>42</v>
      </c>
      <c r="AF55" s="9" t="n">
        <v>42</v>
      </c>
      <c r="AG55" s="9" t="n">
        <v>42</v>
      </c>
      <c r="AH55" s="16" t="n">
        <v>41.13</v>
      </c>
      <c r="AI55" s="20" t="n">
        <v>42.14</v>
      </c>
      <c r="AJ55" s="16" t="n">
        <v>40.9</v>
      </c>
    </row>
    <row r="56">
      <c r="A56" s="12" t="inlineStr">
        <is>
          <t>gcs</t>
        </is>
      </c>
      <c r="B56" s="25">
        <f>E41</f>
        <v/>
      </c>
      <c r="C56" s="9" t="n">
        <v>2120</v>
      </c>
      <c r="D56" s="9" t="n">
        <v>2010</v>
      </c>
      <c r="E56" s="9" t="n">
        <v>2110</v>
      </c>
      <c r="F56" s="9" t="n">
        <v>2150</v>
      </c>
      <c r="G56" s="9" t="n">
        <v>2120</v>
      </c>
      <c r="H56" s="9" t="n">
        <v>2030</v>
      </c>
      <c r="I56" s="9" t="n">
        <v>2130</v>
      </c>
      <c r="J56" s="9" t="n">
        <v>2180</v>
      </c>
      <c r="K56" s="9" t="n">
        <v>2140</v>
      </c>
      <c r="L56" s="9" t="n">
        <v>2140</v>
      </c>
      <c r="M56" s="9" t="n">
        <v>2050</v>
      </c>
      <c r="N56" s="9" t="n">
        <v>2090</v>
      </c>
      <c r="O56" s="9" t="n">
        <v>2190</v>
      </c>
      <c r="P56" s="9" t="n">
        <v>2180</v>
      </c>
      <c r="Q56" s="9" t="n">
        <v>2210</v>
      </c>
      <c r="R56" s="9" t="n">
        <v>2190</v>
      </c>
      <c r="S56" s="9" t="n">
        <v>1980</v>
      </c>
      <c r="T56" s="9" t="n">
        <v>2050</v>
      </c>
      <c r="U56" s="9" t="n">
        <v>2090</v>
      </c>
      <c r="V56" s="9" t="n">
        <v>2110</v>
      </c>
      <c r="W56" s="9" t="n">
        <v>2040</v>
      </c>
      <c r="X56" s="9" t="n">
        <v>1940</v>
      </c>
      <c r="Y56" s="9" t="n">
        <v>2040</v>
      </c>
      <c r="Z56" s="9" t="n">
        <v>2090</v>
      </c>
      <c r="AA56" s="9" t="n">
        <v>2140</v>
      </c>
      <c r="AB56" s="9" t="n">
        <v>2130</v>
      </c>
      <c r="AC56" s="9" t="n">
        <v>2120</v>
      </c>
      <c r="AD56" s="9" t="n">
        <v>2090</v>
      </c>
      <c r="AE56" s="9" t="n">
        <v>2110</v>
      </c>
      <c r="AF56" s="9" t="n">
        <v>2020</v>
      </c>
      <c r="AG56" s="9" t="n">
        <v>2130</v>
      </c>
      <c r="AH56" s="16" t="n">
        <v>2092.61</v>
      </c>
      <c r="AI56" s="20" t="n">
        <v>2050</v>
      </c>
      <c r="AJ56" s="16" t="n">
        <v>2111.72</v>
      </c>
    </row>
    <row r="57">
      <c r="A57" s="12" t="inlineStr">
        <is>
          <t>gfnAfs</t>
        </is>
      </c>
      <c r="B57" s="25">
        <f>F41</f>
        <v/>
      </c>
      <c r="C57" s="9" t="n">
        <v>64.20999999999999</v>
      </c>
      <c r="D57" s="9" t="n">
        <v>64.20999999999999</v>
      </c>
      <c r="E57" s="9" t="n">
        <v>63.74</v>
      </c>
      <c r="F57" s="9" t="n">
        <v>64.04000000000001</v>
      </c>
      <c r="G57" s="9" t="n">
        <v>64.04000000000001</v>
      </c>
      <c r="H57" s="9" t="n">
        <v>64.66</v>
      </c>
      <c r="I57" s="9" t="n">
        <v>65.19</v>
      </c>
      <c r="J57" s="9" t="n">
        <v>65.12</v>
      </c>
      <c r="K57" s="9" t="n">
        <v>64.45</v>
      </c>
      <c r="L57" s="9" t="n">
        <v>64.41</v>
      </c>
      <c r="M57" s="9" t="n">
        <v>64.41</v>
      </c>
      <c r="N57" s="9" t="n">
        <v>64.25</v>
      </c>
      <c r="O57" s="9" t="n">
        <v>64.7</v>
      </c>
      <c r="P57" s="9" t="n">
        <v>65.11</v>
      </c>
      <c r="Q57" s="9" t="n">
        <v>65.11</v>
      </c>
      <c r="R57" s="9" t="n">
        <v>65.20999999999999</v>
      </c>
      <c r="S57" s="9" t="n">
        <v>65.15000000000001</v>
      </c>
      <c r="T57" s="9" t="n">
        <v>65.15000000000001</v>
      </c>
      <c r="U57" s="9" t="n">
        <v>65.58</v>
      </c>
      <c r="V57" s="9" t="n">
        <v>64.90000000000001</v>
      </c>
      <c r="W57" s="9" t="n">
        <v>64.90000000000001</v>
      </c>
      <c r="X57" s="9" t="n">
        <v>66.17</v>
      </c>
      <c r="Y57" s="9" t="n">
        <v>64.83</v>
      </c>
      <c r="Z57" s="9" t="n">
        <v>64.83</v>
      </c>
      <c r="AA57" s="9" t="n">
        <v>64.83</v>
      </c>
      <c r="AB57" s="9" t="n">
        <v>64.33</v>
      </c>
      <c r="AC57" s="9" t="n">
        <v>64.33</v>
      </c>
      <c r="AD57" s="9" t="n">
        <v>65.20999999999999</v>
      </c>
      <c r="AE57" s="9" t="n">
        <v>65.20999999999999</v>
      </c>
      <c r="AF57" s="9" t="n">
        <v>65.20999999999999</v>
      </c>
      <c r="AG57" s="9" t="n">
        <v>65.20999999999999</v>
      </c>
      <c r="AH57" s="16" t="n">
        <v>65.42</v>
      </c>
      <c r="AI57" s="20" t="n">
        <v>65.23999999999999</v>
      </c>
      <c r="AJ57" s="16" t="n">
        <v>66.45</v>
      </c>
    </row>
    <row r="58">
      <c r="A58" s="12" t="inlineStr">
        <is>
          <t>inertFines</t>
        </is>
      </c>
      <c r="B58" s="25">
        <f>G41</f>
        <v/>
      </c>
      <c r="C58" s="9" t="n">
        <v>2.54</v>
      </c>
      <c r="D58" s="9" t="n">
        <v>2.54</v>
      </c>
      <c r="E58" s="9" t="n">
        <v>2.47</v>
      </c>
      <c r="F58" s="9" t="n">
        <v>2.55</v>
      </c>
      <c r="G58" s="9" t="n">
        <v>2.55</v>
      </c>
      <c r="H58" s="9" t="n">
        <v>2.69</v>
      </c>
      <c r="I58" s="9" t="n">
        <v>2.61</v>
      </c>
      <c r="J58" s="9" t="n">
        <v>2.56</v>
      </c>
      <c r="K58" s="9" t="n">
        <v>2.64</v>
      </c>
      <c r="L58" s="9" t="n">
        <v>2.6</v>
      </c>
      <c r="M58" s="9" t="n">
        <v>2.6</v>
      </c>
      <c r="N58" s="9" t="n">
        <v>2.76</v>
      </c>
      <c r="O58" s="9" t="n">
        <v>2.89</v>
      </c>
      <c r="P58" s="9" t="n">
        <v>2.94</v>
      </c>
      <c r="Q58" s="9" t="n">
        <v>2.94</v>
      </c>
      <c r="R58" s="9" t="n">
        <v>2.84</v>
      </c>
      <c r="S58" s="9" t="n">
        <v>2.7</v>
      </c>
      <c r="T58" s="9" t="n">
        <v>2.7</v>
      </c>
      <c r="U58" s="9" t="n">
        <v>2.63</v>
      </c>
      <c r="V58" s="9" t="n">
        <v>2.68</v>
      </c>
      <c r="W58" s="9" t="n">
        <v>2.68</v>
      </c>
      <c r="X58" s="9" t="n">
        <v>2.56</v>
      </c>
      <c r="Y58" s="9" t="n">
        <v>2.5</v>
      </c>
      <c r="Z58" s="9" t="n">
        <v>2.5</v>
      </c>
      <c r="AA58" s="9" t="n">
        <v>2.5</v>
      </c>
      <c r="AB58" s="9" t="n">
        <v>2.59</v>
      </c>
      <c r="AC58" s="9" t="n">
        <v>2.59</v>
      </c>
      <c r="AD58" s="9" t="n">
        <v>2.52</v>
      </c>
      <c r="AE58" s="9" t="n">
        <v>2.52</v>
      </c>
      <c r="AF58" s="9" t="n">
        <v>2.52</v>
      </c>
      <c r="AG58" s="9" t="n">
        <v>2.52</v>
      </c>
      <c r="AH58" s="16" t="n">
        <v>2.56</v>
      </c>
      <c r="AI58" s="20" t="n">
        <v>2.6</v>
      </c>
      <c r="AJ58" s="16" t="n">
        <v>2.89</v>
      </c>
    </row>
    <row r="59">
      <c r="A59" s="12" t="inlineStr">
        <is>
          <t>loi</t>
        </is>
      </c>
      <c r="B59" s="25">
        <f>H41</f>
        <v/>
      </c>
      <c r="C59" s="9" t="n">
        <v>5.34</v>
      </c>
      <c r="D59" s="9" t="n">
        <v>5.34</v>
      </c>
      <c r="E59" s="9" t="n">
        <v>5.3</v>
      </c>
      <c r="F59" s="9" t="n">
        <v>5.37</v>
      </c>
      <c r="G59" s="9" t="n">
        <v>5.37</v>
      </c>
      <c r="H59" s="9" t="n">
        <v>5.32</v>
      </c>
      <c r="I59" s="9" t="n">
        <v>5.39</v>
      </c>
      <c r="J59" s="9" t="n">
        <v>5.35</v>
      </c>
      <c r="K59" s="9" t="n">
        <v>5.44</v>
      </c>
      <c r="L59" s="9" t="n">
        <v>5.49</v>
      </c>
      <c r="M59" s="9" t="n">
        <v>5.49</v>
      </c>
      <c r="N59" s="9" t="n">
        <v>5.34</v>
      </c>
      <c r="O59" s="9" t="n">
        <v>5.48</v>
      </c>
      <c r="P59" s="9" t="n">
        <v>5.51</v>
      </c>
      <c r="Q59" s="9" t="n">
        <v>5.51</v>
      </c>
      <c r="R59" s="9" t="n">
        <v>5.46</v>
      </c>
      <c r="S59" s="9" t="n">
        <v>5.36</v>
      </c>
      <c r="T59" s="9" t="n">
        <v>5.36</v>
      </c>
      <c r="U59" s="9" t="n">
        <v>5.3</v>
      </c>
      <c r="V59" s="9" t="n">
        <v>5.41</v>
      </c>
      <c r="W59" s="9" t="n">
        <v>5.41</v>
      </c>
      <c r="X59" s="9" t="n">
        <v>5.38</v>
      </c>
      <c r="Y59" s="9" t="n">
        <v>5.42</v>
      </c>
      <c r="Z59" s="9" t="n">
        <v>5.42</v>
      </c>
      <c r="AA59" s="9" t="n">
        <v>5.42</v>
      </c>
      <c r="AB59" s="9" t="n">
        <v>5.37</v>
      </c>
      <c r="AC59" s="9" t="n">
        <v>5.37</v>
      </c>
      <c r="AD59" s="9" t="n">
        <v>5.38</v>
      </c>
      <c r="AE59" s="9" t="n">
        <v>5.38</v>
      </c>
      <c r="AF59" s="9" t="n">
        <v>5.38</v>
      </c>
      <c r="AG59" s="9" t="n">
        <v>5.38</v>
      </c>
      <c r="AH59" s="16" t="n">
        <v>5.41</v>
      </c>
      <c r="AI59" s="20" t="n">
        <v>5.43</v>
      </c>
      <c r="AJ59" s="16" t="n">
        <v>5.41</v>
      </c>
    </row>
    <row r="60">
      <c r="A60" s="12" t="inlineStr">
        <is>
          <t>moisture</t>
        </is>
      </c>
      <c r="B60" s="25">
        <f>I41</f>
        <v/>
      </c>
      <c r="C60" s="9" t="n">
        <v>3.3</v>
      </c>
      <c r="D60" s="9" t="n">
        <v>3.4</v>
      </c>
      <c r="E60" s="9" t="n">
        <v>3.4</v>
      </c>
      <c r="F60" s="9" t="n">
        <v>3.3</v>
      </c>
      <c r="G60" s="9" t="n">
        <v>3.4</v>
      </c>
      <c r="H60" s="9" t="n">
        <v>3.4</v>
      </c>
      <c r="I60" s="9" t="n">
        <v>3.4</v>
      </c>
      <c r="J60" s="9" t="n">
        <v>3.2</v>
      </c>
      <c r="K60" s="9" t="n">
        <v>3.3</v>
      </c>
      <c r="L60" s="9" t="n">
        <v>3.3</v>
      </c>
      <c r="M60" s="9" t="n">
        <v>3.5</v>
      </c>
      <c r="N60" s="9" t="n">
        <v>3.3</v>
      </c>
      <c r="O60" s="9" t="n">
        <v>3.2</v>
      </c>
      <c r="P60" s="9" t="n">
        <v>3.3</v>
      </c>
      <c r="Q60" s="9" t="n">
        <v>3.3</v>
      </c>
      <c r="R60" s="9" t="n">
        <v>3.2</v>
      </c>
      <c r="S60" s="9" t="n">
        <v>3.5</v>
      </c>
      <c r="T60" s="9" t="n">
        <v>3.4</v>
      </c>
      <c r="U60" s="9" t="n">
        <v>3.4</v>
      </c>
      <c r="V60" s="9" t="n">
        <v>3.4</v>
      </c>
      <c r="W60" s="9" t="n">
        <v>3.4</v>
      </c>
      <c r="X60" s="9" t="n">
        <v>3.5</v>
      </c>
      <c r="Y60" s="9" t="n">
        <v>3.4</v>
      </c>
      <c r="Z60" s="9" t="n">
        <v>3.3</v>
      </c>
      <c r="AA60" s="9" t="n">
        <v>3.3</v>
      </c>
      <c r="AB60" s="9" t="n">
        <v>3.4</v>
      </c>
      <c r="AC60" s="9" t="n">
        <v>3.4</v>
      </c>
      <c r="AD60" s="9" t="n">
        <v>3.4</v>
      </c>
      <c r="AE60" s="9" t="n">
        <v>3.5</v>
      </c>
      <c r="AF60" s="9" t="n">
        <v>3.5</v>
      </c>
      <c r="AG60" s="9" t="n">
        <v>3.4</v>
      </c>
      <c r="AH60" s="16" t="n">
        <v>3.41</v>
      </c>
      <c r="AI60" s="20" t="n">
        <v>3.46</v>
      </c>
      <c r="AJ60" s="16" t="n">
        <v>3.4</v>
      </c>
    </row>
    <row r="61">
      <c r="A61" s="12" t="inlineStr">
        <is>
          <t>permeability</t>
        </is>
      </c>
      <c r="B61" s="25">
        <f>J41</f>
        <v/>
      </c>
      <c r="C61" s="9" t="n">
        <v>93</v>
      </c>
      <c r="D61" s="9" t="n">
        <v>99</v>
      </c>
      <c r="E61" s="9" t="n">
        <v>93</v>
      </c>
      <c r="F61" s="9" t="n">
        <v>96</v>
      </c>
      <c r="G61" s="9" t="n">
        <v>96</v>
      </c>
      <c r="H61" s="9" t="n">
        <v>90</v>
      </c>
      <c r="I61" s="9" t="n">
        <v>90</v>
      </c>
      <c r="J61" s="9" t="n">
        <v>93</v>
      </c>
      <c r="K61" s="9" t="n">
        <v>96</v>
      </c>
      <c r="L61" s="9" t="n">
        <v>96</v>
      </c>
      <c r="M61" s="9" t="n">
        <v>99</v>
      </c>
      <c r="N61" s="9" t="n">
        <v>96</v>
      </c>
      <c r="O61" s="9" t="n">
        <v>90</v>
      </c>
      <c r="P61" s="9" t="n">
        <v>90</v>
      </c>
      <c r="Q61" s="9" t="n">
        <v>90</v>
      </c>
      <c r="R61" s="9" t="n">
        <v>90</v>
      </c>
      <c r="S61" s="9" t="n">
        <v>99</v>
      </c>
      <c r="T61" s="9" t="n">
        <v>90</v>
      </c>
      <c r="U61" s="9" t="n">
        <v>96</v>
      </c>
      <c r="V61" s="9" t="n">
        <v>93</v>
      </c>
      <c r="W61" s="9" t="n">
        <v>99</v>
      </c>
      <c r="X61" s="9" t="n">
        <v>102</v>
      </c>
      <c r="Y61" s="9" t="n">
        <v>96</v>
      </c>
      <c r="Z61" s="9" t="n">
        <v>93</v>
      </c>
      <c r="AA61" s="9" t="n">
        <v>90</v>
      </c>
      <c r="AB61" s="9" t="n">
        <v>93</v>
      </c>
      <c r="AC61" s="9" t="n">
        <v>93</v>
      </c>
      <c r="AD61" s="9" t="n">
        <v>96</v>
      </c>
      <c r="AE61" s="9" t="n">
        <v>96</v>
      </c>
      <c r="AF61" s="9" t="n">
        <v>99</v>
      </c>
      <c r="AG61" s="9" t="n">
        <v>90</v>
      </c>
      <c r="AH61" s="16" t="n">
        <v>94.95999999999999</v>
      </c>
      <c r="AI61" s="20" t="n">
        <v>93.86</v>
      </c>
      <c r="AJ61" s="16" t="n">
        <v>93.66</v>
      </c>
    </row>
    <row r="62">
      <c r="A62" s="12" t="inlineStr">
        <is>
          <t>shearStrength</t>
        </is>
      </c>
      <c r="B62" s="25">
        <f>K41</f>
        <v/>
      </c>
      <c r="C62" s="9" t="n">
        <v>550</v>
      </c>
      <c r="D62" s="9" t="n">
        <v>530</v>
      </c>
      <c r="E62" s="9" t="n">
        <v>550</v>
      </c>
      <c r="F62" s="9" t="n">
        <v>550</v>
      </c>
      <c r="G62" s="9" t="n">
        <v>530</v>
      </c>
      <c r="H62" s="9" t="n">
        <v>550</v>
      </c>
      <c r="I62" s="9" t="n">
        <v>540</v>
      </c>
      <c r="J62" s="9" t="n">
        <v>570</v>
      </c>
      <c r="K62" s="9" t="n">
        <v>550</v>
      </c>
      <c r="L62" s="9" t="n">
        <v>540</v>
      </c>
      <c r="M62" s="9" t="n">
        <v>540</v>
      </c>
      <c r="N62" s="9" t="n">
        <v>530</v>
      </c>
      <c r="O62" s="9" t="n">
        <v>550</v>
      </c>
      <c r="P62" s="9" t="n">
        <v>550</v>
      </c>
      <c r="Q62" s="9" t="n">
        <v>570</v>
      </c>
      <c r="R62" s="9" t="n">
        <v>560</v>
      </c>
      <c r="S62" s="9" t="n">
        <v>510</v>
      </c>
      <c r="T62" s="9" t="n">
        <v>540</v>
      </c>
      <c r="U62" s="9" t="n">
        <v>530</v>
      </c>
      <c r="V62" s="9" t="n">
        <v>540</v>
      </c>
      <c r="W62" s="9" t="n">
        <v>560</v>
      </c>
      <c r="X62" s="9" t="n">
        <v>520</v>
      </c>
      <c r="Y62" s="9" t="n">
        <v>530</v>
      </c>
      <c r="Z62" s="9" t="n">
        <v>540</v>
      </c>
      <c r="AA62" s="9" t="n">
        <v>560</v>
      </c>
      <c r="AB62" s="9" t="n">
        <v>530</v>
      </c>
      <c r="AC62" s="9" t="n">
        <v>550</v>
      </c>
      <c r="AD62" s="9" t="n">
        <v>540</v>
      </c>
      <c r="AE62" s="9" t="n">
        <v>530</v>
      </c>
      <c r="AF62" s="9" t="n">
        <v>520</v>
      </c>
      <c r="AG62" s="9" t="n">
        <v>550</v>
      </c>
      <c r="AH62" s="16" t="n">
        <v>531.74</v>
      </c>
      <c r="AI62" s="20" t="n">
        <v>534.29</v>
      </c>
      <c r="AJ62" s="16" t="n">
        <v>538.28</v>
      </c>
    </row>
    <row r="63">
      <c r="A63" s="12" t="inlineStr">
        <is>
          <t>splitStrength</t>
        </is>
      </c>
      <c r="B63" s="25">
        <f>L41</f>
        <v/>
      </c>
      <c r="C63" s="9" t="n">
        <v>510</v>
      </c>
      <c r="D63" s="9" t="n">
        <v>500</v>
      </c>
      <c r="E63" s="9" t="n">
        <v>500</v>
      </c>
      <c r="F63" s="9" t="n">
        <v>500</v>
      </c>
      <c r="G63" s="9" t="n">
        <v>490</v>
      </c>
      <c r="H63" s="9" t="n">
        <v>500</v>
      </c>
      <c r="I63" s="9" t="n">
        <v>490</v>
      </c>
      <c r="J63" s="9" t="n">
        <v>510</v>
      </c>
      <c r="K63" s="9" t="n">
        <v>500</v>
      </c>
      <c r="L63" s="9" t="n">
        <v>490</v>
      </c>
      <c r="M63" s="9" t="n">
        <v>500</v>
      </c>
      <c r="N63" s="9" t="n">
        <v>490</v>
      </c>
      <c r="O63" s="9" t="n">
        <v>500</v>
      </c>
      <c r="P63" s="9" t="n">
        <v>500</v>
      </c>
      <c r="Q63" s="9" t="n">
        <v>510</v>
      </c>
      <c r="R63" s="9" t="n">
        <v>500</v>
      </c>
      <c r="S63" s="9" t="n">
        <v>490</v>
      </c>
      <c r="T63" s="9" t="n">
        <v>500</v>
      </c>
      <c r="U63" s="9" t="n">
        <v>490</v>
      </c>
      <c r="V63" s="9" t="n">
        <v>490</v>
      </c>
      <c r="W63" s="9" t="n">
        <v>500</v>
      </c>
      <c r="X63" s="9" t="n">
        <v>490</v>
      </c>
      <c r="Y63" s="9" t="n">
        <v>500</v>
      </c>
      <c r="Z63" s="9" t="n">
        <v>500</v>
      </c>
      <c r="AA63" s="9" t="n">
        <v>510</v>
      </c>
      <c r="AB63" s="9" t="n">
        <v>500</v>
      </c>
      <c r="AC63" s="9" t="n">
        <v>490</v>
      </c>
      <c r="AD63" s="9" t="n">
        <v>490</v>
      </c>
      <c r="AE63" s="9" t="n">
        <v>500</v>
      </c>
      <c r="AF63" s="9" t="n">
        <v>490</v>
      </c>
      <c r="AG63" s="9" t="n">
        <v>490</v>
      </c>
      <c r="AH63" s="16" t="n">
        <v>491.43</v>
      </c>
      <c r="AI63" s="20" t="n">
        <v>485</v>
      </c>
      <c r="AJ63" s="16" t="n">
        <v>496.25</v>
      </c>
    </row>
    <row r="64">
      <c r="A64" s="12" t="inlineStr">
        <is>
          <t>tempOfSandAfterMix</t>
        </is>
      </c>
      <c r="B64" s="25">
        <f>M41</f>
        <v/>
      </c>
      <c r="C64" s="9" t="n">
        <v>44</v>
      </c>
      <c r="D64" s="9" t="n">
        <v>43</v>
      </c>
      <c r="E64" s="9" t="n">
        <v>43</v>
      </c>
      <c r="F64" s="9" t="n">
        <v>39</v>
      </c>
      <c r="G64" s="9" t="n">
        <v>43</v>
      </c>
      <c r="H64" s="9" t="n">
        <v>39</v>
      </c>
      <c r="I64" s="9" t="n">
        <v>41</v>
      </c>
      <c r="J64" s="9" t="n">
        <v>42</v>
      </c>
      <c r="K64" s="9" t="n">
        <v>43</v>
      </c>
      <c r="L64" s="9" t="n">
        <v>44</v>
      </c>
      <c r="M64" s="9" t="n">
        <v>43</v>
      </c>
      <c r="N64" s="9" t="n">
        <v>38</v>
      </c>
      <c r="O64" s="9" t="n">
        <v>34</v>
      </c>
      <c r="P64" s="9" t="n">
        <v>37</v>
      </c>
      <c r="Q64" s="9" t="n">
        <v>44</v>
      </c>
      <c r="R64" s="9" t="n">
        <v>39</v>
      </c>
      <c r="S64" s="9" t="n">
        <v>43</v>
      </c>
      <c r="T64" s="9" t="n">
        <v>45</v>
      </c>
      <c r="U64" s="9" t="n">
        <v>45</v>
      </c>
      <c r="V64" s="9" t="n">
        <v>38</v>
      </c>
      <c r="W64" s="9" t="n">
        <v>41</v>
      </c>
      <c r="X64" s="9" t="n">
        <v>42</v>
      </c>
      <c r="Y64" s="9" t="n">
        <v>41</v>
      </c>
      <c r="Z64" s="9" t="n">
        <v>37</v>
      </c>
      <c r="AA64" s="9" t="n">
        <v>42</v>
      </c>
      <c r="AB64" s="9" t="n">
        <v>43</v>
      </c>
      <c r="AC64" s="9" t="n">
        <v>42</v>
      </c>
      <c r="AD64" s="9" t="n">
        <v>44</v>
      </c>
      <c r="AE64" s="9" t="n">
        <v>44</v>
      </c>
      <c r="AF64" s="9" t="n">
        <v>43</v>
      </c>
      <c r="AG64" s="9" t="n">
        <v>44</v>
      </c>
      <c r="AH64" s="16" t="n">
        <v>44.78</v>
      </c>
      <c r="AI64" s="20" t="n">
        <v>45.86</v>
      </c>
      <c r="AJ64" s="16" t="n">
        <v>42.38</v>
      </c>
    </row>
    <row r="65">
      <c r="A65" s="12" t="inlineStr">
        <is>
          <t>volatileMatter</t>
        </is>
      </c>
      <c r="B65" s="25">
        <f>N41</f>
        <v/>
      </c>
      <c r="C65" s="9" t="n">
        <v>2.9</v>
      </c>
      <c r="D65" s="9" t="n">
        <v>2.9</v>
      </c>
      <c r="E65" s="9" t="n">
        <v>2.8</v>
      </c>
      <c r="F65" s="9" t="n">
        <v>2.7</v>
      </c>
      <c r="G65" s="9" t="n">
        <v>2.7</v>
      </c>
      <c r="H65" s="9" t="n">
        <v>2.8</v>
      </c>
      <c r="I65" s="9" t="n">
        <v>2.7</v>
      </c>
      <c r="J65" s="9" t="n">
        <v>2.9</v>
      </c>
      <c r="K65" s="9" t="n">
        <v>2.8</v>
      </c>
      <c r="L65" s="9" t="n">
        <v>3</v>
      </c>
      <c r="M65" s="9" t="n">
        <v>3</v>
      </c>
      <c r="N65" s="9" t="n">
        <v>2.9</v>
      </c>
      <c r="O65" s="9" t="n">
        <v>3</v>
      </c>
      <c r="P65" s="9" t="n">
        <v>2.8</v>
      </c>
      <c r="Q65" s="9" t="n">
        <v>2.8</v>
      </c>
      <c r="R65" s="9" t="n">
        <v>2.8</v>
      </c>
      <c r="S65" s="9" t="n">
        <v>3</v>
      </c>
      <c r="T65" s="9" t="n">
        <v>3</v>
      </c>
      <c r="U65" s="9" t="n">
        <v>2.8</v>
      </c>
      <c r="V65" s="9" t="n">
        <v>2.8</v>
      </c>
      <c r="W65" s="9" t="n">
        <v>2.8</v>
      </c>
      <c r="X65" s="9" t="n">
        <v>2.7</v>
      </c>
      <c r="Y65" s="9" t="n">
        <v>3.1</v>
      </c>
      <c r="Z65" s="9" t="n">
        <v>3.1</v>
      </c>
      <c r="AA65" s="9" t="n">
        <v>3.1</v>
      </c>
      <c r="AB65" s="9" t="n">
        <v>2.9</v>
      </c>
      <c r="AC65" s="9" t="n">
        <v>2.9</v>
      </c>
      <c r="AD65" s="9" t="n">
        <v>2.8</v>
      </c>
      <c r="AE65" s="9" t="n">
        <v>2.8</v>
      </c>
      <c r="AF65" s="9" t="n">
        <v>2.8</v>
      </c>
      <c r="AG65" s="9" t="n">
        <v>2.8</v>
      </c>
      <c r="AH65" s="16" t="n">
        <v>3.02</v>
      </c>
      <c r="AI65" s="20" t="n">
        <v>3</v>
      </c>
      <c r="AJ65" s="16" t="n">
        <v>2.9</v>
      </c>
    </row>
    <row r="66">
      <c r="B66" s="29" t="n"/>
    </row>
    <row r="67">
      <c r="B67" s="29" t="n"/>
    </row>
    <row r="68">
      <c r="B68" s="29" t="n"/>
    </row>
    <row r="69">
      <c r="B69" s="29" t="n"/>
      <c r="J69">
        <f>((49-52)*8.4)/70</f>
        <v/>
      </c>
    </row>
    <row r="70">
      <c r="B70" s="29" t="n"/>
      <c r="O70">
        <f>((53-52)*8.4)/70</f>
        <v/>
      </c>
    </row>
    <row r="71">
      <c r="B71" s="29" t="n"/>
    </row>
    <row r="72">
      <c r="B72" s="29" t="n"/>
    </row>
    <row r="73">
      <c r="B73" s="29" t="n"/>
    </row>
    <row r="74">
      <c r="B74" s="29" t="n"/>
    </row>
    <row r="75">
      <c r="B75" s="29" t="n"/>
    </row>
    <row r="76"/>
    <row r="77">
      <c r="H77" s="29" t="n">
        <v>8.51</v>
      </c>
    </row>
    <row r="78">
      <c r="H78" s="29" t="n">
        <v>40.78</v>
      </c>
    </row>
    <row r="79">
      <c r="H79" s="29" t="n">
        <v>2098.26</v>
      </c>
    </row>
    <row r="80">
      <c r="H80" s="29" t="n">
        <v>65.61</v>
      </c>
    </row>
    <row r="81">
      <c r="H81" s="29" t="n">
        <v>2.58</v>
      </c>
    </row>
    <row r="82">
      <c r="H82" s="29" t="n">
        <v>5.48</v>
      </c>
    </row>
    <row r="83">
      <c r="H83" s="29" t="n">
        <v>3.4</v>
      </c>
    </row>
    <row r="84">
      <c r="H84" s="29" t="n">
        <v>94.7</v>
      </c>
    </row>
    <row r="85">
      <c r="H85" s="29" t="n">
        <v>538.7</v>
      </c>
    </row>
    <row r="86">
      <c r="H86" s="29" t="n">
        <v>495</v>
      </c>
    </row>
    <row r="87">
      <c r="H87" s="29" t="n">
        <v>42.96</v>
      </c>
    </row>
    <row r="88">
      <c r="H88" s="29" t="n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2026-04-30T11:37:00Z</dcterms:created>
  <dcterms:modified xmlns:dcterms="http://purl.org/dc/terms/" xmlns:xsi="http://www.w3.org/2001/XMLSchema-instance" xsi:type="dcterms:W3CDTF">2026-10-10T05:05:38Z</dcterms:modified>
  <cp:lastModifiedBy>Gokul 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5ADD05CAB2FD4923B0997EF4DAE5C4D8_12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